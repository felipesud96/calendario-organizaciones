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charts/_rels/chart1.xml.rels" ContentType="application/vnd.openxmlformats-package.relationship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6" sheetId="1" state="visible" r:id="rId3"/>
    <sheet name="BBDD" sheetId="2" state="visible" r:id="rId4"/>
    <sheet name="Consejo de Barrio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<sst xmlns="http://schemas.openxmlformats.org/spreadsheetml/2006/main" count="296" uniqueCount="82">
  <si>
    <t xml:space="preserve">Tiene Llamamiento o Asignacion</t>
  </si>
  <si>
    <t xml:space="preserve">- all -</t>
  </si>
  <si>
    <t xml:space="preserve">Falta algún convenio por efectuar</t>
  </si>
  <si>
    <t xml:space="preserve">Si</t>
  </si>
  <si>
    <t xml:space="preserve">Asistencia a la Capilla</t>
  </si>
  <si>
    <t xml:space="preserve">Alto</t>
  </si>
  <si>
    <t xml:space="preserve">Cuadrante</t>
  </si>
  <si>
    <t xml:space="preserve">Tiene su recomendación vigente</t>
  </si>
  <si>
    <t xml:space="preserve">No</t>
  </si>
  <si>
    <t xml:space="preserve">Nombre</t>
  </si>
  <si>
    <t xml:space="preserve">(empty)</t>
  </si>
  <si>
    <t xml:space="preserve">Esteban Lazo</t>
  </si>
  <si>
    <t xml:space="preserve">Felipe Galvez</t>
  </si>
  <si>
    <t xml:space="preserve">Luis Perez</t>
  </si>
  <si>
    <t xml:space="preserve">Total Result</t>
  </si>
  <si>
    <t xml:space="preserve">Actividad</t>
  </si>
  <si>
    <t xml:space="preserve">Templo</t>
  </si>
  <si>
    <t xml:space="preserve">Gabriel Aracena</t>
  </si>
  <si>
    <t xml:space="preserve">Sergio Arevalo</t>
  </si>
  <si>
    <t xml:space="preserve">Bajo</t>
  </si>
  <si>
    <t xml:space="preserve">David Berrios</t>
  </si>
  <si>
    <t xml:space="preserve">David Briones</t>
  </si>
  <si>
    <t xml:space="preserve">Luis Cali</t>
  </si>
  <si>
    <t xml:space="preserve">Medio</t>
  </si>
  <si>
    <t xml:space="preserve">Anderson Carquin</t>
  </si>
  <si>
    <t xml:space="preserve">Benjamin Carrasco</t>
  </si>
  <si>
    <t xml:space="preserve">Diego Carreño</t>
  </si>
  <si>
    <t xml:space="preserve">Cesar Cepeda</t>
  </si>
  <si>
    <t xml:space="preserve">Ignacio Contreras</t>
  </si>
  <si>
    <t xml:space="preserve">Pablo Crespo</t>
  </si>
  <si>
    <t xml:space="preserve">Jaime Cuenca</t>
  </si>
  <si>
    <t xml:space="preserve">Luis Curaqueo</t>
  </si>
  <si>
    <t xml:space="preserve">Rodrigo Duran</t>
  </si>
  <si>
    <t xml:space="preserve">Samuel Duran</t>
  </si>
  <si>
    <t xml:space="preserve">Ricardo Fariña</t>
  </si>
  <si>
    <t xml:space="preserve">Jaime Freire</t>
  </si>
  <si>
    <t xml:space="preserve">Diego Fuentes</t>
  </si>
  <si>
    <t xml:space="preserve">Nestor Garzon</t>
  </si>
  <si>
    <t xml:space="preserve">Bruno Gonzalez</t>
  </si>
  <si>
    <t xml:space="preserve">Fulton Guerrero</t>
  </si>
  <si>
    <t xml:space="preserve">Carlos Guevara</t>
  </si>
  <si>
    <t xml:space="preserve">Fabian Henriquez</t>
  </si>
  <si>
    <t xml:space="preserve">Nicolas Herrera</t>
  </si>
  <si>
    <t xml:space="preserve">Gustavo Herrera</t>
  </si>
  <si>
    <t xml:space="preserve">Segundo Inostroza</t>
  </si>
  <si>
    <t xml:space="preserve">Miguel Iribarra</t>
  </si>
  <si>
    <t xml:space="preserve">Francisco Jorquera</t>
  </si>
  <si>
    <t xml:space="preserve">Sebastian Lagos</t>
  </si>
  <si>
    <t xml:space="preserve">Mauricio Loyola</t>
  </si>
  <si>
    <t xml:space="preserve">Christopher Mella</t>
  </si>
  <si>
    <t xml:space="preserve">ajustes (lineas divisorias del grafico - solo referencia visual)</t>
  </si>
  <si>
    <t xml:space="preserve">x</t>
  </si>
  <si>
    <t xml:space="preserve">y</t>
  </si>
  <si>
    <t xml:space="preserve">Patricio Mendoza</t>
  </si>
  <si>
    <t xml:space="preserve">Linea horizontal (corte Templo=2.5)</t>
  </si>
  <si>
    <t xml:space="preserve">1.- Condiciones en General</t>
  </si>
  <si>
    <t xml:space="preserve">Jorge Mila</t>
  </si>
  <si>
    <t xml:space="preserve">2.- Si Satanas esta entre ellos</t>
  </si>
  <si>
    <t xml:space="preserve">Alexis Molina</t>
  </si>
  <si>
    <t xml:space="preserve">Linea vertical (corte Actividad=1.5)</t>
  </si>
  <si>
    <t xml:space="preserve">3.- Si son Fieles a sus convenios</t>
  </si>
  <si>
    <t xml:space="preserve">Israel Nogues</t>
  </si>
  <si>
    <t xml:space="preserve">Gustavo Nogues</t>
  </si>
  <si>
    <t xml:space="preserve">Danny Ortiz</t>
  </si>
  <si>
    <t xml:space="preserve">Felipe Pino</t>
  </si>
  <si>
    <t xml:space="preserve">Anyerbe Puerta</t>
  </si>
  <si>
    <t xml:space="preserve">Alan Quintana</t>
  </si>
  <si>
    <t xml:space="preserve">Servando Reyes</t>
  </si>
  <si>
    <t xml:space="preserve">Andres Salinas</t>
  </si>
  <si>
    <t xml:space="preserve">Agustin Sandoval</t>
  </si>
  <si>
    <t xml:space="preserve">Cristobal Silva</t>
  </si>
  <si>
    <t xml:space="preserve">Renato Torres</t>
  </si>
  <si>
    <t xml:space="preserve">Alvaro Yañez</t>
  </si>
  <si>
    <t xml:space="preserve">Felipe Valenzuela</t>
  </si>
  <si>
    <t xml:space="preserve">Estadistica de Asistencia</t>
  </si>
  <si>
    <t xml:space="preserve">bajo</t>
  </si>
  <si>
    <t xml:space="preserve">medio</t>
  </si>
  <si>
    <t xml:space="preserve">max</t>
  </si>
  <si>
    <t xml:space="preserve">min</t>
  </si>
  <si>
    <t xml:space="preserve">Estadistica de Recomendación</t>
  </si>
  <si>
    <t xml:space="preserve">Vigente</t>
  </si>
  <si>
    <t xml:space="preserve">Vencida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</si>
</sst>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%"/>
    <numFmt numFmtId="168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name val="Times New Roman"/>
      <family val="1"/>
    </font>
    <font>
      <b val="true"/>
      <sz val="16"/>
      <name val="Times New Roman"/>
      <family val="1"/>
    </font>
    <font>
      <b val="true"/>
      <sz val="14"/>
      <name val="Times New Roman"/>
      <family val="1"/>
    </font>
    <font>
      <b val="true"/>
      <sz val="14"/>
      <color rgb="FF595959"/>
      <name val="Aptos Narrow"/>
      <family val="2"/>
    </font>
    <font>
      <b val="true"/>
      <sz val="14"/>
      <color rgb="FF000000"/>
      <name val="Aptos Narrow"/>
      <family val="2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ADADA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929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1" lang="es-CL" sz="1400" spc="-1" strike="noStrike">
                <a:solidFill>
                  <a:srgbClr val="595959"/>
                </a:solidFill>
                <a:latin typeface="Aptos Narrow"/>
              </a:rPr>
              <a:t>   ACTIVIDAD                                                                                                                                             RETENER</a:t>
            </a:r>
          </a:p>
        </c:rich>
      </c:tx>
      <c:layout>
        <c:manualLayout>
          <c:xMode val="edge"/>
          <c:yMode val="edge"/>
          <c:x val="0.153976470588235"/>
          <c:y val="0.019890458345344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68"/>
          <c:y val="0.0957624675699049"/>
          <c:w val="0.950682352941176"/>
          <c:h val="0.80144133756125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8b8b8b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8b8b8b"/>
              </a:solidFill>
            </c:spPr>
          </c:marker>
          <c:dPt>
            <c:idx val="0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5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6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7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8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9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0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1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2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3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4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5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6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7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8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19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0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1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2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3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4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5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6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7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8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29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0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1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2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3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4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5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6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7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8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39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0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1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2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3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4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5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6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7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8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Pt>
            <c:idx val="49"/>
            <c:marker>
              <c:symbol val="circle"/>
              <c:size val="5"/>
              <c:spPr>
                <a:solidFill>
                  <a:srgbClr val="8b8b8b"/>
                </a:solidFill>
              </c:spPr>
            </c:marker>
          </c:dPt>
          <c:dLbls>
            <c:dLbl>
              <c:idx val="0"/>
              <c:layout>
                <c:manualLayout>
                  <c:x val="-0.0279991689940632"/>
                  <c:y val="-0.0327996627699921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93D793C8-58DA-4E5A-93A0-2C315D1DEAAF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"/>
              <c:layout>
                <c:manualLayout>
                  <c:x val="-0.146822066267764"/>
                  <c:y val="-0.0377038354076708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AFAAC960-3F68-4760-9D99-D79664697E89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"/>
              <c:layout>
                <c:manualLayout>
                  <c:x val="0.0143052050543512"/>
                  <c:y val="-0.00278817298375338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60BC9088-9FF1-49C9-A2B7-3603625B5BF7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"/>
              <c:layout>
                <c:manualLayout>
                  <c:x val="0.00627162827749584"/>
                  <c:y val="-0.013344245947751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C3254C3A-D23F-4E8C-90D3-D2A41BDC740F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85E64FC8-EFF3-4B92-A168-EB2DCE2071AD}" type="CELLRANGE">
                      <a:rPr b="0" lang="es-CL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5"/>
              <c:layout>
                <c:manualLayout>
                  <c:x val="-0.120144223195204"/>
                  <c:y val="0.0179282965973339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40CDB4E4-FBC8-4CC8-8570-ED0B4FAA5013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6"/>
              <c:layout>
                <c:manualLayout>
                  <c:x val="0.00285200476780717"/>
                  <c:y val="-0.0221567465357153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E899BEBB-2A90-47DB-829D-03A07475976A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7"/>
              <c:layout>
                <c:manualLayout>
                  <c:x val="-0.00047261929178445"/>
                  <c:y val="-0.0158084271724099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2557BC6E-606B-4162-A359-E297D0929F55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8"/>
              <c:layout>
                <c:manualLayout>
                  <c:x val="-0.0611722741905279"/>
                  <c:y val="-0.0326068918804504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B6CD26CC-1005-43A9-8988-15B89F270783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9"/>
              <c:layout>
                <c:manualLayout>
                  <c:x val="0.00967627064736953"/>
                  <c:y val="-0.0283144714437577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438F6593-D4B1-4D2D-BFA7-1B407FE4A309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0"/>
              <c:layout>
                <c:manualLayout>
                  <c:x val="0.00152332034373393"/>
                  <c:y val="-0.00436636280679978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531CAAAC-521E-4124-A364-8B4ACE39E4FE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1"/>
              <c:layout>
                <c:manualLayout>
                  <c:x val="0.0368113115054408"/>
                  <c:y val="0.000911894271055987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0F198252-5D2C-49FA-8E8F-EA044B871E6D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2"/>
              <c:layout>
                <c:manualLayout>
                  <c:x val="-0.103836301323037"/>
                  <c:y val="0.0333600504238046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6FFCF1B1-FFB0-4E17-8C43-656C455AB67D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9431BB3A-BB54-4C80-A96F-3C9BCC8A02A3}" type="CELLRANGE">
                      <a:rPr b="0" lang="es-CL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4"/>
              <c:layout>
                <c:manualLayout>
                  <c:x val="-0.0722653326318355"/>
                  <c:y val="-0.0325878888794816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2D2AA96D-BB74-4513-B907-6749B1CB84E1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5"/>
              <c:layout>
                <c:manualLayout>
                  <c:x val="0.0472975985589571"/>
                  <c:y val="0.0505608227542986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4F645D63-97DC-4A6E-8CF0-0BFD319FBEFB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6"/>
              <c:layout>
                <c:manualLayout>
                  <c:x val="-0.132325078844193"/>
                  <c:y val="-0.0345209268196314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286CEA4E-40F9-4275-8FCC-DA955B3C973A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7"/>
              <c:layout>
                <c:manualLayout>
                  <c:x val="-0.109266370016319"/>
                  <c:y val="-0.0459141308635123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103AF849-01A9-4CB6-83BC-8876E093E15B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8"/>
              <c:layout>
                <c:manualLayout>
                  <c:x val="-0.103562836072445"/>
                  <c:y val="-0.01195589798587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38B859EC-1C64-4343-BC5B-23FF599CDD60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19"/>
              <c:layout>
                <c:manualLayout>
                  <c:x val="-0.0385591948231839"/>
                  <c:y val="-0.053472751389947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F2C7FFF5-50B7-43D8-ABB3-2C802DF2FF1F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0"/>
              <c:layout>
                <c:manualLayout>
                  <c:x val="0.0197868754514406"/>
                  <c:y val="-0.0340509318055673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D65246CA-5B15-4CBC-AB8F-F82EBE57AC98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1"/>
              <c:layout>
                <c:manualLayout>
                  <c:x val="-0.123964651643913"/>
                  <c:y val="-0.0285981135474948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88C39478-6643-470F-B487-5E94C8B40762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2"/>
              <c:layout>
                <c:manualLayout>
                  <c:x val="-0.0730521763247227"/>
                  <c:y val="0.0850718816296336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A3496EA8-C8A9-47BC-93EB-EA8164FAC75C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3"/>
              <c:layout>
                <c:manualLayout>
                  <c:x val="-0.089366422628655"/>
                  <c:y val="0.036928851635481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4FD6EFEF-070A-41BA-953F-29E494B74A72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4"/>
              <c:layout>
                <c:manualLayout>
                  <c:x val="-0.0602509340919022"/>
                  <c:y val="0.034502300115711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0856672F-9C70-4561-876B-AB56598F278A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5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25435ADF-79AF-4FCB-93A9-6B9D7C6DD718}" type="CELLRANGE">
                      <a:rPr b="0" lang="es-CL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6"/>
              <c:layout>
                <c:manualLayout>
                  <c:x val="-0.107245342916507"/>
                  <c:y val="-0.0429351169813451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A8EEE3CE-1032-4EDC-983C-A4AE42360DCA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7"/>
              <c:layout>
                <c:manualLayout>
                  <c:x val="-0.115455245331027"/>
                  <c:y val="-0.0373932021938119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690C63CA-71B5-41F3-881C-12E8BA7C0933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8"/>
              <c:layout>
                <c:manualLayout>
                  <c:x val="-0.0557194597642686"/>
                  <c:y val="0.0426510053489331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AF367B1C-6F0C-4B74-97E5-E6D68DB15469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29"/>
              <c:layout>
                <c:manualLayout>
                  <c:x val="-0.0845935028223397"/>
                  <c:y val="-0.0318209574452544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C08CFDC5-6E9A-4A4F-8045-1708717C98B0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0"/>
              <c:layout>
                <c:manualLayout>
                  <c:x val="-0.00529821088332248"/>
                  <c:y val="-0.032113566449355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F77BB51D-935A-4632-AF50-B38E218FE918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1"/>
              <c:layout>
                <c:manualLayout>
                  <c:x val="0.0181701013307651"/>
                  <c:y val="-0.012208581454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7D318FCB-56D8-428A-9CB0-35E7E061CC3B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2"/>
              <c:layout>
                <c:manualLayout>
                  <c:x val="-0.153697696055264"/>
                  <c:y val="0.0201653825529873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436A1F36-7CDA-4755-AB32-E7A88B9C2E31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3"/>
              <c:layout>
                <c:manualLayout>
                  <c:x val="-0.0605858695749102"/>
                  <c:y val="-0.0423213764946048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42B74B91-62AD-4FD0-A2EB-A3C66500D392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4"/>
              <c:layout>
                <c:manualLayout>
                  <c:x val="-0.0140867895476825"/>
                  <c:y val="-0.0730245816047188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86AB9A69-2BD0-49B1-8BD3-0B05DE8DCEDE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5"/>
              <c:layout>
                <c:manualLayout>
                  <c:x val="-0.00225822848021698"/>
                  <c:y val="-0.0038609459531844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58794177-8132-46E3-966B-62640C331001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6"/>
              <c:layout>
                <c:manualLayout>
                  <c:x val="0.0102092968277474"/>
                  <c:y val="0.00607913837670279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F633DD62-7CF7-4A11-97A6-C909A037B45E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7"/>
              <c:layout>
                <c:manualLayout>
                  <c:x val="-0.0576536087009509"/>
                  <c:y val="0.0579819730325915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8B681BF5-0345-440B-8337-8EC6D5FF02D9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8"/>
              <c:layout>
                <c:manualLayout>
                  <c:x val="-0.00836922564747368"/>
                  <c:y val="-0.027587277396777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BCE85915-1B18-47A8-8D52-080BE7442D4F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39"/>
              <c:layout>
                <c:manualLayout>
                  <c:x val="-0.0415990583283546"/>
                  <c:y val="0.028616449825492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75AFFD17-E055-405A-9F79-52F976E66D1E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0"/>
              <c:layout>
                <c:manualLayout>
                  <c:x val="-0.00218486845429701"/>
                  <c:y val="0.00599497643439731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C0A50FD9-86B6-4C23-8366-F6478193840A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1"/>
              <c:layout>
                <c:manualLayout>
                  <c:x val="0.000992797757584945"/>
                  <c:y val="0.00221243849895107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D53BEF5D-B0ED-424D-A49F-210393961958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2"/>
              <c:layout>
                <c:manualLayout>
                  <c:x val="-0.000260148681867768"/>
                  <c:y val="0.0190763788934984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7214148C-C72E-4410-BCA3-9B16F1FED208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3"/>
              <c:layout>
                <c:manualLayout>
                  <c:x val="-0.114319888949329"/>
                  <c:y val="-0.00050896235373171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FEF0C96C-56B1-474F-A9EA-77F03AF50593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4"/>
              <c:layout>
                <c:manualLayout>
                  <c:x val="-0.0697941579499619"/>
                  <c:y val="-0.0629321334833146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F8319ACE-0A94-422B-94C1-CC1254134D8B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5"/>
              <c:layout>
                <c:manualLayout>
                  <c:x val="-0.121189930533882"/>
                  <c:y val="0.000126607550679542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DBD6CCB4-AD22-47DC-AC02-F21168911DA0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6"/>
              <c:layout>
                <c:manualLayout>
                  <c:x val="0.0155697440424702"/>
                  <c:y val="0.00776217331861586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E038C39A-17DD-4FBD-BD74-98FF1B248DBA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7"/>
              <c:layout>
                <c:manualLayout>
                  <c:x val="-0.0674380764692069"/>
                  <c:y val="0.0431027573166257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E170DCD8-28EB-417C-A209-3B3D888CFBC2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8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94F25643-69C6-459E-99FA-F7D365FB4E1A}" type="CELLRANGE">
                      <a:rPr b="0" lang="es-CL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dLbl>
              <c:idx val="49"/>
              <c:layout>
                <c:manualLayout>
                  <c:x val="0.00685743840343853"/>
                  <c:y val="-0.0312049972248094"/>
                </c:manualLayout>
              </c:layout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595959"/>
                      </a:solidFill>
                      <a:latin typeface="Aptos Narrow"/>
                    </a:defRPr>
                  </a:pPr>
                </a:p>
              </c:txPr>
              <c:tx>
                <c:rich>
                  <a:bodyPr/>
                  <a:p>
                    <a:fld id="{4ED183C0-7CB2-4659-90CB-BED0DA21AE8A}" type="CELLRANGE">
                      <a:rPr b="0" lang="en-US" sz="900" spc="-1" strike="noStrike">
                        <a:solidFill>
                          <a:srgbClr val="595959"/>
                        </a:solidFill>
                        <a:latin typeface="Aptos Narrow"/>
                      </a:rPr>
                      <a:t>[CELLRANGE]</a:t>
                    </a:fld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  <c:extLst>
                <c:ext xmlns:c15="http://schemas.microsoft.com/office/drawing/2012/chart" uri="{CE6537A1-D6FC-4f65-9D91-7224C49458BB}">
                  <c15:showDataLabelsRange val="1"/>
                </c:ext>
              </c:extLst>
            </c:dLbl>
            <c:spPr>
              <a:solidFill>
                <a:srgbClr val="FFFFFF"/>
              </a:solidFill>
            </c:spPr>
            <c:txPr>
              <a:bodyPr wrap="square"/>
              <a:lstStyle/>
              <a:p>
                <a:pPr>
                  <a:defRPr b="0" sz="900" spc="-1" strike="noStrike">
                    <a:solidFill>
                      <a:srgbClr val="595959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BBDD!$B$3:$B$52</c:f>
              <c:numCache>
                <c:formatCode>0.0</c:formatCode>
                <c:ptCount val="50"/>
                <c:pt idx="0">
                  <c:v>3</c:v>
                </c:pt>
                <c:pt idx="1">
                  <c:v>1.05</c:v>
                </c:pt>
                <c:pt idx="2">
                  <c:v>1.1</c:v>
                </c:pt>
                <c:pt idx="3">
                  <c:v>1.15</c:v>
                </c:pt>
                <c:pt idx="4">
                  <c:v>1.2</c:v>
                </c:pt>
                <c:pt idx="5">
                  <c:v>3.25</c:v>
                </c:pt>
                <c:pt idx="6">
                  <c:v>1.3</c:v>
                </c:pt>
                <c:pt idx="7">
                  <c:v>3.35</c:v>
                </c:pt>
                <c:pt idx="8">
                  <c:v>2.4</c:v>
                </c:pt>
                <c:pt idx="9">
                  <c:v>1</c:v>
                </c:pt>
                <c:pt idx="10">
                  <c:v>3.05</c:v>
                </c:pt>
                <c:pt idx="11">
                  <c:v>3.1</c:v>
                </c:pt>
                <c:pt idx="12">
                  <c:v>3.15</c:v>
                </c:pt>
                <c:pt idx="13">
                  <c:v>1.2</c:v>
                </c:pt>
                <c:pt idx="14">
                  <c:v>1.25</c:v>
                </c:pt>
                <c:pt idx="15">
                  <c:v>1.3</c:v>
                </c:pt>
                <c:pt idx="16">
                  <c:v>2.35</c:v>
                </c:pt>
                <c:pt idx="17">
                  <c:v>1.4</c:v>
                </c:pt>
                <c:pt idx="18">
                  <c:v>3</c:v>
                </c:pt>
                <c:pt idx="19">
                  <c:v>1.05</c:v>
                </c:pt>
                <c:pt idx="20">
                  <c:v>1.1</c:v>
                </c:pt>
                <c:pt idx="21">
                  <c:v>3.15</c:v>
                </c:pt>
                <c:pt idx="22">
                  <c:v>2.2</c:v>
                </c:pt>
                <c:pt idx="23">
                  <c:v>3.25</c:v>
                </c:pt>
                <c:pt idx="24">
                  <c:v>1.3</c:v>
                </c:pt>
                <c:pt idx="25">
                  <c:v>1.35</c:v>
                </c:pt>
                <c:pt idx="26">
                  <c:v>3.4</c:v>
                </c:pt>
                <c:pt idx="27">
                  <c:v>1</c:v>
                </c:pt>
                <c:pt idx="28">
                  <c:v>3.05</c:v>
                </c:pt>
                <c:pt idx="29">
                  <c:v>3.1</c:v>
                </c:pt>
                <c:pt idx="30">
                  <c:v>3.15</c:v>
                </c:pt>
                <c:pt idx="31">
                  <c:v>1.2</c:v>
                </c:pt>
                <c:pt idx="32">
                  <c:v>1.25</c:v>
                </c:pt>
                <c:pt idx="33">
                  <c:v>1.3</c:v>
                </c:pt>
                <c:pt idx="34">
                  <c:v>1.35</c:v>
                </c:pt>
                <c:pt idx="35">
                  <c:v>3.4</c:v>
                </c:pt>
                <c:pt idx="36">
                  <c:v>1</c:v>
                </c:pt>
                <c:pt idx="37">
                  <c:v>1.05</c:v>
                </c:pt>
                <c:pt idx="38">
                  <c:v>3.1</c:v>
                </c:pt>
                <c:pt idx="39">
                  <c:v>3.15</c:v>
                </c:pt>
                <c:pt idx="40">
                  <c:v>3.2</c:v>
                </c:pt>
                <c:pt idx="41">
                  <c:v>3.25</c:v>
                </c:pt>
                <c:pt idx="42">
                  <c:v>3.3</c:v>
                </c:pt>
                <c:pt idx="43">
                  <c:v>3.35</c:v>
                </c:pt>
                <c:pt idx="44">
                  <c:v>3.4</c:v>
                </c:pt>
                <c:pt idx="45">
                  <c:v>3</c:v>
                </c:pt>
                <c:pt idx="46">
                  <c:v>3.05</c:v>
                </c:pt>
                <c:pt idx="47">
                  <c:v>1.1</c:v>
                </c:pt>
                <c:pt idx="48">
                  <c:v>3.15</c:v>
                </c:pt>
                <c:pt idx="49">
                  <c:v>1.2</c:v>
                </c:pt>
              </c:numCache>
            </c:numRef>
          </c:xVal>
          <c:yVal>
            <c:numRef>
              <c:f>BBDD!$C$3:$C$52</c:f>
              <c:numCache>
                <c:formatCode>0.0</c:formatCode>
                <c:ptCount val="50"/>
                <c:pt idx="0">
                  <c:v>2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2.24</c:v>
                </c:pt>
                <c:pt idx="5">
                  <c:v>2.3</c:v>
                </c:pt>
                <c:pt idx="6">
                  <c:v>0.36</c:v>
                </c:pt>
                <c:pt idx="7">
                  <c:v>3</c:v>
                </c:pt>
                <c:pt idx="8">
                  <c:v>1.06</c:v>
                </c:pt>
                <c:pt idx="9">
                  <c:v>0.12</c:v>
                </c:pt>
                <c:pt idx="10">
                  <c:v>2.18</c:v>
                </c:pt>
                <c:pt idx="11">
                  <c:v>2.24</c:v>
                </c:pt>
                <c:pt idx="12">
                  <c:v>2.3</c:v>
                </c:pt>
                <c:pt idx="13">
                  <c:v>0.36</c:v>
                </c:pt>
                <c:pt idx="14">
                  <c:v>0</c:v>
                </c:pt>
                <c:pt idx="15">
                  <c:v>0.06</c:v>
                </c:pt>
                <c:pt idx="16">
                  <c:v>3.12</c:v>
                </c:pt>
                <c:pt idx="17">
                  <c:v>0.18</c:v>
                </c:pt>
                <c:pt idx="18">
                  <c:v>1.24</c:v>
                </c:pt>
                <c:pt idx="19">
                  <c:v>0.3</c:v>
                </c:pt>
                <c:pt idx="20">
                  <c:v>0.36</c:v>
                </c:pt>
                <c:pt idx="21">
                  <c:v>2</c:v>
                </c:pt>
                <c:pt idx="22">
                  <c:v>2.06</c:v>
                </c:pt>
                <c:pt idx="23">
                  <c:v>2.12</c:v>
                </c:pt>
                <c:pt idx="24">
                  <c:v>0.18</c:v>
                </c:pt>
                <c:pt idx="25">
                  <c:v>0.24</c:v>
                </c:pt>
                <c:pt idx="26">
                  <c:v>3.3</c:v>
                </c:pt>
                <c:pt idx="27">
                  <c:v>1.36</c:v>
                </c:pt>
                <c:pt idx="28">
                  <c:v>2</c:v>
                </c:pt>
                <c:pt idx="29">
                  <c:v>3.06</c:v>
                </c:pt>
                <c:pt idx="30">
                  <c:v>1.12</c:v>
                </c:pt>
                <c:pt idx="31">
                  <c:v>0.18</c:v>
                </c:pt>
                <c:pt idx="32">
                  <c:v>0.24</c:v>
                </c:pt>
                <c:pt idx="33">
                  <c:v>1.3</c:v>
                </c:pt>
                <c:pt idx="34">
                  <c:v>0.36</c:v>
                </c:pt>
                <c:pt idx="35">
                  <c:v>3</c:v>
                </c:pt>
                <c:pt idx="36">
                  <c:v>0.06</c:v>
                </c:pt>
                <c:pt idx="37">
                  <c:v>0.12</c:v>
                </c:pt>
                <c:pt idx="38">
                  <c:v>3.18</c:v>
                </c:pt>
                <c:pt idx="39">
                  <c:v>1.24</c:v>
                </c:pt>
                <c:pt idx="40">
                  <c:v>3.3</c:v>
                </c:pt>
                <c:pt idx="41">
                  <c:v>3.36</c:v>
                </c:pt>
                <c:pt idx="42">
                  <c:v>2</c:v>
                </c:pt>
                <c:pt idx="43">
                  <c:v>3.06</c:v>
                </c:pt>
                <c:pt idx="44">
                  <c:v>3.12</c:v>
                </c:pt>
                <c:pt idx="45">
                  <c:v>2.18</c:v>
                </c:pt>
                <c:pt idx="46">
                  <c:v>2.24</c:v>
                </c:pt>
                <c:pt idx="47">
                  <c:v>0.3</c:v>
                </c:pt>
                <c:pt idx="48">
                  <c:v>3.36</c:v>
                </c:pt>
                <c:pt idx="4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BBDD!$A$3:$A$52</c15:f>
                <c15:dlblRangeCache>
                  <c:ptCount val="50"/>
                  <c:pt idx="0">
                    <c:v>Gabriel Aracena</c:v>
                  </c:pt>
                  <c:pt idx="1">
                    <c:v>Sergio Arevalo</c:v>
                  </c:pt>
                  <c:pt idx="2">
                    <c:v>David Berrios</c:v>
                  </c:pt>
                  <c:pt idx="3">
                    <c:v>David Briones</c:v>
                  </c:pt>
                  <c:pt idx="4">
                    <c:v>Luis Cali</c:v>
                  </c:pt>
                  <c:pt idx="5">
                    <c:v>Anderson Carquin</c:v>
                  </c:pt>
                  <c:pt idx="6">
                    <c:v>Benjamin Carrasco</c:v>
                  </c:pt>
                  <c:pt idx="7">
                    <c:v>Diego Carreño</c:v>
                  </c:pt>
                  <c:pt idx="8">
                    <c:v>Cesar Cepeda</c:v>
                  </c:pt>
                  <c:pt idx="9">
                    <c:v>Ignacio Contreras</c:v>
                  </c:pt>
                  <c:pt idx="10">
                    <c:v>Pablo Crespo</c:v>
                  </c:pt>
                  <c:pt idx="11">
                    <c:v>Jaime Cuenca</c:v>
                  </c:pt>
                  <c:pt idx="12">
                    <c:v>Luis Curaqueo</c:v>
                  </c:pt>
                  <c:pt idx="13">
                    <c:v>Rodrigo Duran</c:v>
                  </c:pt>
                  <c:pt idx="14">
                    <c:v>Samuel Duran</c:v>
                  </c:pt>
                  <c:pt idx="15">
                    <c:v>Ricardo Fariña</c:v>
                  </c:pt>
                  <c:pt idx="16">
                    <c:v>Jaime Freire</c:v>
                  </c:pt>
                  <c:pt idx="17">
                    <c:v>Diego Fuentes</c:v>
                  </c:pt>
                  <c:pt idx="18">
                    <c:v>Felipe Galvez</c:v>
                  </c:pt>
                  <c:pt idx="19">
                    <c:v>Nestor Garzon</c:v>
                  </c:pt>
                  <c:pt idx="20">
                    <c:v>Bruno Gonzalez</c:v>
                  </c:pt>
                  <c:pt idx="21">
                    <c:v>Fulton Guerrero</c:v>
                  </c:pt>
                  <c:pt idx="22">
                    <c:v>Carlos Guevara</c:v>
                  </c:pt>
                  <c:pt idx="23">
                    <c:v>Fabian Henriquez</c:v>
                  </c:pt>
                  <c:pt idx="24">
                    <c:v>Nicolas Herrera</c:v>
                  </c:pt>
                  <c:pt idx="25">
                    <c:v>Gustavo Herrera</c:v>
                  </c:pt>
                  <c:pt idx="26">
                    <c:v>Segundo Inostroza</c:v>
                  </c:pt>
                  <c:pt idx="27">
                    <c:v>Miguel Iribarra</c:v>
                  </c:pt>
                  <c:pt idx="28">
                    <c:v>Francisco Jorquera</c:v>
                  </c:pt>
                  <c:pt idx="29">
                    <c:v>Sebastian Lagos</c:v>
                  </c:pt>
                  <c:pt idx="30">
                    <c:v>Esteban Lazo</c:v>
                  </c:pt>
                  <c:pt idx="31">
                    <c:v>Mauricio Loyola</c:v>
                  </c:pt>
                  <c:pt idx="32">
                    <c:v>Christopher Mella</c:v>
                  </c:pt>
                  <c:pt idx="33">
                    <c:v>Patricio Mendoza</c:v>
                  </c:pt>
                  <c:pt idx="34">
                    <c:v>Jorge Mila</c:v>
                  </c:pt>
                  <c:pt idx="35">
                    <c:v>Alexis Molina</c:v>
                  </c:pt>
                  <c:pt idx="36">
                    <c:v>Israel Nogues</c:v>
                  </c:pt>
                  <c:pt idx="37">
                    <c:v>Gustavo Nogues</c:v>
                  </c:pt>
                  <c:pt idx="38">
                    <c:v>Danny Ortiz</c:v>
                  </c:pt>
                  <c:pt idx="39">
                    <c:v>Luis Perez</c:v>
                  </c:pt>
                  <c:pt idx="40">
                    <c:v>Felipe Pino</c:v>
                  </c:pt>
                  <c:pt idx="41">
                    <c:v>Anyerbe Puerta</c:v>
                  </c:pt>
                  <c:pt idx="42">
                    <c:v>Alan Quintana</c:v>
                  </c:pt>
                  <c:pt idx="43">
                    <c:v>Servando Reyes</c:v>
                  </c:pt>
                  <c:pt idx="44">
                    <c:v>Andres Salinas</c:v>
                  </c:pt>
                  <c:pt idx="45">
                    <c:v>Agustin Sandoval</c:v>
                  </c:pt>
                  <c:pt idx="46">
                    <c:v>Cristobal Silva</c:v>
                  </c:pt>
                  <c:pt idx="47">
                    <c:v>Renato Torres</c:v>
                  </c:pt>
                  <c:pt idx="48">
                    <c:v>Alvaro Yañez</c:v>
                  </c:pt>
                  <c:pt idx="49">
                    <c:v>Felipe Valenzuela</c:v>
                  </c:pt>
                </c15:dlblRangeCache>
              </c15:datalabelsRange>
            </c:ext>
          </c:extLst>
        </c:ser>
        <c:ser>
          <c:idx val="1"/>
          <c:order val="1"/>
          <c:tx>
            <c:strRef>
              <c:f>"Linea Horizontal"</c:f>
              <c:strCache>
                <c:ptCount val="1"/>
                <c:pt idx="0">
                  <c:v>Linea Horizontal</c:v>
                </c:pt>
              </c:strCache>
            </c:strRef>
          </c:tx>
          <c:spPr>
            <a:solidFill>
              <a:srgbClr val="292929"/>
            </a:solidFill>
            <a:ln cap="rnd" w="19080">
              <a:solidFill>
                <a:srgbClr val="292929"/>
              </a:solidFill>
              <a:round/>
            </a:ln>
          </c:spPr>
          <c:marker>
            <c:symbol val="circle"/>
            <c:size val="5"/>
            <c:spPr>
              <a:solidFill>
                <a:srgbClr val="29292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BBDD!$K$36:$K$37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BBDD!$L$36:$L$37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"Linea Vertical"</c:f>
              <c:strCache>
                <c:ptCount val="1"/>
                <c:pt idx="0">
                  <c:v>Linea Vertical</c:v>
                </c:pt>
              </c:strCache>
            </c:strRef>
          </c:tx>
          <c:spPr>
            <a:solidFill>
              <a:srgbClr val="dadada"/>
            </a:solidFill>
            <a:ln cap="rnd" w="19080">
              <a:solidFill>
                <a:srgbClr val="dadada"/>
              </a:solidFill>
              <a:round/>
            </a:ln>
          </c:spPr>
          <c:marker>
            <c:symbol val="circle"/>
            <c:size val="5"/>
            <c:spPr>
              <a:solidFill>
                <a:srgbClr val="dadada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BBDD!$K$38:$K$39</c:f>
              <c:numCache>
                <c:formatCode>General</c:formatCode>
                <c:ptCount val="2"/>
                <c:pt idx="0">
                  <c:v>1.5</c:v>
                </c:pt>
                <c:pt idx="1">
                  <c:v>1.5</c:v>
                </c:pt>
              </c:numCache>
            </c:numRef>
          </c:xVal>
          <c:yVal>
            <c:numRef>
              <c:f>BBDD!$L$38:$L$39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0"/>
        </c:ser>
        <c:axId val="26847624"/>
        <c:axId val="26248139"/>
      </c:scatterChart>
      <c:valAx>
        <c:axId val="26847624"/>
        <c:scaling>
          <c:orientation val="minMax"/>
          <c:max val="4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6248139"/>
        <c:crossBetween val="midCat"/>
      </c:valAx>
      <c:valAx>
        <c:axId val="26248139"/>
        <c:scaling>
          <c:orientation val="minMax"/>
          <c:max val="4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6847624"/>
        <c:crossBetween val="midCat"/>
        <c:majorUnit val="1"/>
        <c:min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145440</xdr:colOff>
      <xdr:row>1</xdr:row>
      <xdr:rowOff>3960</xdr:rowOff>
    </xdr:from>
    <xdr:to>
      <xdr:col>23</xdr:col>
      <xdr:colOff>380520</xdr:colOff>
      <xdr:row>31</xdr:row>
      <xdr:rowOff>180360</xdr:rowOff>
    </xdr:to>
    <xdr:graphicFrame>
      <xdr:nvGraphicFramePr>
        <xdr:cNvPr id="0" name="Gráfico 1"/>
        <xdr:cNvGraphicFramePr/>
      </xdr:nvGraphicFramePr>
      <xdr:xfrm>
        <a:off x="13618800" y="185040"/>
        <a:ext cx="11474640" cy="624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0.0530509803921569</cdr:x>
      <cdr:y>0.924877486307293</cdr:y>
    </cdr:from>
    <cdr:to>
      <cdr:x>0.95761568627451</cdr:x>
      <cdr:y>0.977745748054194</cdr:y>
    </cdr:to>
    <cdr:sp>
      <cdr:nvSpPr>
        <cdr:cNvPr id="1" name="CuadroTexto 1"/>
        <cdr:cNvSpPr/>
      </cdr:nvSpPr>
      <cdr:spPr>
        <a:xfrm>
          <a:off x="608760" y="5775120"/>
          <a:ext cx="10379880" cy="3301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s-CL" sz="1100" spc="-1" strike="noStrike">
              <a:latin typeface="Times New Roman"/>
            </a:rPr>
            <a:t>                                                       </a:t>
          </a:r>
          <a:r>
            <a:rPr b="1" lang="es-CL" sz="1600" spc="-1" strike="noStrike">
              <a:latin typeface="Times New Roman"/>
            </a:rPr>
            <a:t>RESCATAR</a:t>
          </a:r>
          <a:r>
            <a:rPr b="1" lang="es-CL" sz="1100" spc="-1" strike="noStrike">
              <a:latin typeface="Times New Roman"/>
            </a:rPr>
            <a:t>                                                                                                                                                                               </a:t>
          </a:r>
          <a:r>
            <a:rPr b="1" lang="es-CL" sz="1400" spc="-1" strike="noStrike">
              <a:latin typeface="Times New Roman"/>
            </a:rPr>
            <a:t>ENFOQUE</a:t>
          </a:r>
          <a:endParaRPr b="0" sz="1400" spc="-1" strike="noStrike">
            <a:latin typeface="Times New Roman"/>
          </a:endParaRPr>
        </a:p>
      </cdr:txBody>
    </cdr:sp>
  </cdr:relSizeAnchor>
</c:userShape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" createdVersion="3">
  <cacheSource type="worksheet">
    <worksheetSource ref="A2:H52" sheet="BBDD"/>
  </cacheSource>
  <cacheFields count="8">
    <cacheField name="Nombre" numFmtId="0">
      <sharedItems count="50">
        <s v="Agustin Sandoval"/>
        <s v="Alan Quintana"/>
        <s v="Alexis Molina"/>
        <s v="Alvaro Yañez"/>
        <s v="Anderson Carquin"/>
        <s v="Andres Salinas"/>
        <s v="Anyerbe Puerta"/>
        <s v="Benjamin Carrasco"/>
        <s v="Bruno Gonzalez"/>
        <s v="Carlos Guevara"/>
        <s v="Cesar Cepeda"/>
        <s v="Christopher Mella"/>
        <s v="Cristobal Silva"/>
        <s v="Danny Ortiz"/>
        <s v="David Berrios"/>
        <s v="David Briones"/>
        <s v="Diego Carreño"/>
        <s v="Diego Fuentes"/>
        <s v="Esteban Lazo"/>
        <s v="Fabian Henriquez"/>
        <s v="Felipe Galvez"/>
        <s v="Felipe Pino"/>
        <s v="Felipe Valenzuela"/>
        <s v="Francisco Jorquera"/>
        <s v="Fulton Guerrero"/>
        <s v="Gabriel Aracena"/>
        <s v="Gustavo Herrera"/>
        <s v="Gustavo Nogues"/>
        <s v="Ignacio Contreras"/>
        <s v="Israel Nogues"/>
        <s v="Jaime Cuenca"/>
        <s v="Jaime Freire"/>
        <s v="Jorge Mila"/>
        <s v="Luis Cali"/>
        <s v="Luis Curaqueo"/>
        <s v="Luis Perez"/>
        <s v="Mauricio Loyola"/>
        <s v="Miguel Iribarra"/>
        <s v="Nestor Garzon"/>
        <s v="Nicolas Herrera"/>
        <s v="Pablo Crespo"/>
        <s v="Patricio Mendoza"/>
        <s v="Renato Torres"/>
        <s v="Ricardo Fariña"/>
        <s v="Rodrigo Duran"/>
        <s v="Samuel Duran"/>
        <s v="Sebastian Lagos"/>
        <s v="Segundo Inostroza"/>
        <s v="Sergio Arevalo"/>
        <s v="Servando Reyes"/>
      </sharedItems>
    </cacheField>
    <cacheField name="Actividad" numFmtId="0">
      <sharedItems containsSemiMixedTypes="0" containsString="0" containsNumber="1" minValue="1" maxValue="3.4" count="21">
        <n v="1"/>
        <n v="1.05"/>
        <n v="1.1"/>
        <n v="1.15"/>
        <n v="1.2"/>
        <n v="1.25"/>
        <n v="1.3"/>
        <n v="1.35"/>
        <n v="1.4"/>
        <n v="2.2"/>
        <n v="2.35"/>
        <n v="2.4"/>
        <n v="3"/>
        <n v="3.05"/>
        <n v="3.1"/>
        <n v="3.15"/>
        <n v="3.2"/>
        <n v="3.25"/>
        <n v="3.3"/>
        <n v="3.35"/>
        <n v="3.4"/>
      </sharedItems>
    </cacheField>
    <cacheField name="Templo" numFmtId="0">
      <sharedItems containsSemiMixedTypes="0" containsString="0" containsNumber="1" minValue="0" maxValue="3.36" count="24">
        <n v="0"/>
        <n v="0.06"/>
        <n v="0.12"/>
        <n v="0.18"/>
        <n v="0.24"/>
        <n v="0.3"/>
        <n v="0.36"/>
        <n v="1.06"/>
        <n v="1.12"/>
        <n v="1.24"/>
        <n v="1.3"/>
        <n v="1.36"/>
        <n v="2"/>
        <n v="2.06"/>
        <n v="2.12"/>
        <n v="2.18"/>
        <n v="2.24"/>
        <n v="2.3"/>
        <n v="3"/>
        <n v="3.06"/>
        <n v="3.12"/>
        <n v="3.18"/>
        <n v="3.3"/>
        <n v="3.36"/>
      </sharedItems>
    </cacheField>
    <cacheField name="Asistencia a la Capilla" numFmtId="0">
      <sharedItems count="3">
        <s v="Alto"/>
        <s v="Bajo"/>
        <s v="Medio"/>
      </sharedItems>
    </cacheField>
    <cacheField name="Tiene Llamamiento o Asignacion" numFmtId="0">
      <sharedItems count="2">
        <s v="No"/>
        <s v="Si"/>
      </sharedItems>
    </cacheField>
    <cacheField name="Falta algún convenio por efectuar" numFmtId="0">
      <sharedItems count="2">
        <s v="No"/>
        <s v="Si"/>
      </sharedItems>
    </cacheField>
    <cacheField name="Tiene su recomendación vigente" numFmtId="0">
      <sharedItems count="2">
        <s v="No"/>
        <s v="Si"/>
      </sharedItems>
    </cacheField>
    <cacheField name="Cuadrante" numFmtId="0">
      <sharedItems count="3">
        <s v="Enfoque"/>
        <s v="Rescatar"/>
        <s v="Reten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25"/>
    <x v="12"/>
    <x v="12"/>
    <x v="0"/>
    <x v="1"/>
    <x v="0"/>
    <x v="0"/>
    <x v="0"/>
  </r>
  <r>
    <x v="48"/>
    <x v="1"/>
    <x v="1"/>
    <x v="1"/>
    <x v="0"/>
    <x v="1"/>
    <x v="0"/>
    <x v="1"/>
  </r>
  <r>
    <x v="14"/>
    <x v="2"/>
    <x v="2"/>
    <x v="1"/>
    <x v="0"/>
    <x v="1"/>
    <x v="0"/>
    <x v="1"/>
  </r>
  <r>
    <x v="15"/>
    <x v="3"/>
    <x v="3"/>
    <x v="1"/>
    <x v="0"/>
    <x v="1"/>
    <x v="0"/>
    <x v="1"/>
  </r>
  <r>
    <x v="33"/>
    <x v="4"/>
    <x v="16"/>
    <x v="1"/>
    <x v="0"/>
    <x v="0"/>
    <x v="1"/>
    <x v="1"/>
  </r>
  <r>
    <x v="4"/>
    <x v="17"/>
    <x v="17"/>
    <x v="0"/>
    <x v="0"/>
    <x v="0"/>
    <x v="1"/>
    <x v="0"/>
  </r>
  <r>
    <x v="7"/>
    <x v="6"/>
    <x v="6"/>
    <x v="1"/>
    <x v="0"/>
    <x v="1"/>
    <x v="0"/>
    <x v="1"/>
  </r>
  <r>
    <x v="16"/>
    <x v="19"/>
    <x v="18"/>
    <x v="0"/>
    <x v="1"/>
    <x v="0"/>
    <x v="1"/>
    <x v="2"/>
  </r>
  <r>
    <x v="10"/>
    <x v="11"/>
    <x v="7"/>
    <x v="2"/>
    <x v="0"/>
    <x v="0"/>
    <x v="0"/>
    <x v="0"/>
  </r>
  <r>
    <x v="28"/>
    <x v="0"/>
    <x v="2"/>
    <x v="1"/>
    <x v="0"/>
    <x v="1"/>
    <x v="0"/>
    <x v="1"/>
  </r>
  <r>
    <x v="40"/>
    <x v="13"/>
    <x v="15"/>
    <x v="0"/>
    <x v="1"/>
    <x v="0"/>
    <x v="0"/>
    <x v="0"/>
  </r>
  <r>
    <x v="30"/>
    <x v="14"/>
    <x v="16"/>
    <x v="0"/>
    <x v="1"/>
    <x v="1"/>
    <x v="1"/>
    <x v="0"/>
  </r>
  <r>
    <x v="34"/>
    <x v="15"/>
    <x v="17"/>
    <x v="0"/>
    <x v="1"/>
    <x v="0"/>
    <x v="0"/>
    <x v="0"/>
  </r>
  <r>
    <x v="44"/>
    <x v="4"/>
    <x v="6"/>
    <x v="1"/>
    <x v="0"/>
    <x v="1"/>
    <x v="0"/>
    <x v="1"/>
  </r>
  <r>
    <x v="45"/>
    <x v="5"/>
    <x v="0"/>
    <x v="1"/>
    <x v="0"/>
    <x v="1"/>
    <x v="0"/>
    <x v="1"/>
  </r>
  <r>
    <x v="43"/>
    <x v="6"/>
    <x v="1"/>
    <x v="1"/>
    <x v="0"/>
    <x v="1"/>
    <x v="0"/>
    <x v="1"/>
  </r>
  <r>
    <x v="31"/>
    <x v="10"/>
    <x v="20"/>
    <x v="2"/>
    <x v="1"/>
    <x v="0"/>
    <x v="1"/>
    <x v="2"/>
  </r>
  <r>
    <x v="17"/>
    <x v="8"/>
    <x v="3"/>
    <x v="1"/>
    <x v="0"/>
    <x v="1"/>
    <x v="0"/>
    <x v="1"/>
  </r>
  <r>
    <x v="20"/>
    <x v="12"/>
    <x v="9"/>
    <x v="0"/>
    <x v="1"/>
    <x v="1"/>
    <x v="0"/>
    <x v="0"/>
  </r>
  <r>
    <x v="38"/>
    <x v="1"/>
    <x v="5"/>
    <x v="1"/>
    <x v="0"/>
    <x v="1"/>
    <x v="0"/>
    <x v="1"/>
  </r>
  <r>
    <x v="8"/>
    <x v="2"/>
    <x v="6"/>
    <x v="1"/>
    <x v="0"/>
    <x v="1"/>
    <x v="0"/>
    <x v="1"/>
  </r>
  <r>
    <x v="24"/>
    <x v="15"/>
    <x v="12"/>
    <x v="0"/>
    <x v="1"/>
    <x v="0"/>
    <x v="0"/>
    <x v="0"/>
  </r>
  <r>
    <x v="9"/>
    <x v="9"/>
    <x v="13"/>
    <x v="2"/>
    <x v="1"/>
    <x v="1"/>
    <x v="1"/>
    <x v="0"/>
  </r>
  <r>
    <x v="19"/>
    <x v="17"/>
    <x v="14"/>
    <x v="0"/>
    <x v="1"/>
    <x v="0"/>
    <x v="0"/>
    <x v="0"/>
  </r>
  <r>
    <x v="39"/>
    <x v="6"/>
    <x v="3"/>
    <x v="1"/>
    <x v="0"/>
    <x v="1"/>
    <x v="0"/>
    <x v="1"/>
  </r>
  <r>
    <x v="26"/>
    <x v="7"/>
    <x v="4"/>
    <x v="1"/>
    <x v="0"/>
    <x v="1"/>
    <x v="0"/>
    <x v="1"/>
  </r>
  <r>
    <x v="47"/>
    <x v="20"/>
    <x v="22"/>
    <x v="0"/>
    <x v="1"/>
    <x v="0"/>
    <x v="1"/>
    <x v="2"/>
  </r>
  <r>
    <x v="37"/>
    <x v="0"/>
    <x v="11"/>
    <x v="1"/>
    <x v="0"/>
    <x v="0"/>
    <x v="0"/>
    <x v="1"/>
  </r>
  <r>
    <x v="23"/>
    <x v="13"/>
    <x v="12"/>
    <x v="0"/>
    <x v="1"/>
    <x v="1"/>
    <x v="1"/>
    <x v="0"/>
  </r>
  <r>
    <x v="46"/>
    <x v="14"/>
    <x v="19"/>
    <x v="0"/>
    <x v="1"/>
    <x v="0"/>
    <x v="1"/>
    <x v="2"/>
  </r>
  <r>
    <x v="18"/>
    <x v="15"/>
    <x v="8"/>
    <x v="0"/>
    <x v="1"/>
    <x v="1"/>
    <x v="0"/>
    <x v="0"/>
  </r>
  <r>
    <x v="36"/>
    <x v="4"/>
    <x v="3"/>
    <x v="1"/>
    <x v="0"/>
    <x v="1"/>
    <x v="0"/>
    <x v="1"/>
  </r>
  <r>
    <x v="11"/>
    <x v="5"/>
    <x v="4"/>
    <x v="1"/>
    <x v="0"/>
    <x v="1"/>
    <x v="0"/>
    <x v="1"/>
  </r>
  <r>
    <x v="41"/>
    <x v="6"/>
    <x v="10"/>
    <x v="1"/>
    <x v="0"/>
    <x v="0"/>
    <x v="0"/>
    <x v="1"/>
  </r>
  <r>
    <x v="32"/>
    <x v="7"/>
    <x v="6"/>
    <x v="1"/>
    <x v="0"/>
    <x v="1"/>
    <x v="0"/>
    <x v="1"/>
  </r>
  <r>
    <x v="2"/>
    <x v="20"/>
    <x v="18"/>
    <x v="0"/>
    <x v="1"/>
    <x v="0"/>
    <x v="1"/>
    <x v="2"/>
  </r>
  <r>
    <x v="29"/>
    <x v="0"/>
    <x v="1"/>
    <x v="1"/>
    <x v="0"/>
    <x v="1"/>
    <x v="0"/>
    <x v="1"/>
  </r>
  <r>
    <x v="27"/>
    <x v="1"/>
    <x v="2"/>
    <x v="1"/>
    <x v="0"/>
    <x v="1"/>
    <x v="0"/>
    <x v="1"/>
  </r>
  <r>
    <x v="13"/>
    <x v="14"/>
    <x v="21"/>
    <x v="0"/>
    <x v="1"/>
    <x v="0"/>
    <x v="1"/>
    <x v="2"/>
  </r>
  <r>
    <x v="35"/>
    <x v="15"/>
    <x v="9"/>
    <x v="0"/>
    <x v="1"/>
    <x v="1"/>
    <x v="0"/>
    <x v="0"/>
  </r>
  <r>
    <x v="21"/>
    <x v="16"/>
    <x v="22"/>
    <x v="0"/>
    <x v="1"/>
    <x v="0"/>
    <x v="1"/>
    <x v="2"/>
  </r>
  <r>
    <x v="6"/>
    <x v="17"/>
    <x v="23"/>
    <x v="0"/>
    <x v="1"/>
    <x v="0"/>
    <x v="1"/>
    <x v="2"/>
  </r>
  <r>
    <x v="1"/>
    <x v="18"/>
    <x v="12"/>
    <x v="0"/>
    <x v="1"/>
    <x v="1"/>
    <x v="1"/>
    <x v="0"/>
  </r>
  <r>
    <x v="49"/>
    <x v="19"/>
    <x v="19"/>
    <x v="0"/>
    <x v="1"/>
    <x v="0"/>
    <x v="1"/>
    <x v="2"/>
  </r>
  <r>
    <x v="5"/>
    <x v="20"/>
    <x v="20"/>
    <x v="0"/>
    <x v="1"/>
    <x v="0"/>
    <x v="1"/>
    <x v="2"/>
  </r>
  <r>
    <x v="0"/>
    <x v="12"/>
    <x v="15"/>
    <x v="0"/>
    <x v="1"/>
    <x v="1"/>
    <x v="1"/>
    <x v="0"/>
  </r>
  <r>
    <x v="12"/>
    <x v="13"/>
    <x v="16"/>
    <x v="0"/>
    <x v="1"/>
    <x v="1"/>
    <x v="1"/>
    <x v="0"/>
  </r>
  <r>
    <x v="42"/>
    <x v="2"/>
    <x v="5"/>
    <x v="1"/>
    <x v="0"/>
    <x v="1"/>
    <x v="0"/>
    <x v="1"/>
  </r>
  <r>
    <x v="3"/>
    <x v="15"/>
    <x v="23"/>
    <x v="0"/>
    <x v="1"/>
    <x v="0"/>
    <x v="1"/>
    <x v="2"/>
  </r>
  <r>
    <x v="22"/>
    <x v="4"/>
    <x v="0"/>
    <x v="1"/>
    <x v="0"/>
    <x v="1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6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7:B11" firstHeaderRow="1" firstDataRow="1" firstDataCol="1" rowPageCount="5" colPageCount="1"/>
  <pivotFields count="8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axis="axisPage" showAll="0">
      <items count="4">
        <item x="0"/>
        <item h="1" x="1"/>
        <item h="1" x="2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h="1" x="0"/>
        <item x="1"/>
        <item t="default"/>
      </items>
    </pivotField>
    <pivotField axis="axisPage" showAll="0">
      <items count="3">
        <item x="0"/>
        <item h="1" x="1"/>
        <item t="default"/>
      </items>
    </pivotField>
    <pivotField axis="axisPage" showAll="0">
      <items count="4">
        <item x="1"/>
        <item x="2"/>
        <item x="0"/>
        <item t="default"/>
      </items>
    </pivotField>
  </pivotFields>
  <rowFields count="1">
    <field x="0"/>
  </rowFields>
  <pageFields count="5">
    <pageField fld="4" hier="-1"/>
    <pageField fld="5" hier="-1"/>
    <pageField fld="3" hier="-1"/>
    <pageField fld="7" hier="-1"/>
    <pageField fld="6" hier="-1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27.67"/>
    <col collapsed="false" customWidth="true" hidden="false" outlineLevel="0" max="2" min="2" style="0" width="9.11"/>
  </cols>
  <sheetData>
    <row r="1" customFormat="false" ht="14.25" hidden="false" customHeight="false" outlineLevel="0" collapsed="false">
      <c r="A1" s="1" t="s">
        <v>0</v>
      </c>
      <c r="B1" s="2" t="s">
        <v>1</v>
      </c>
    </row>
    <row r="2" customFormat="false" ht="14.25" hidden="false" customHeight="false" outlineLevel="0" collapsed="false">
      <c r="A2" s="1" t="s">
        <v>2</v>
      </c>
      <c r="B2" s="2" t="s">
        <v>3</v>
      </c>
    </row>
    <row r="3" customFormat="false" ht="14.25" hidden="false" customHeight="false" outlineLevel="0" collapsed="false">
      <c r="A3" s="1" t="s">
        <v>4</v>
      </c>
      <c r="B3" s="2" t="s">
        <v>5</v>
      </c>
    </row>
    <row r="4" customFormat="false" ht="14.25" hidden="false" customHeight="false" outlineLevel="0" collapsed="false">
      <c r="A4" s="1" t="s">
        <v>6</v>
      </c>
      <c r="B4" s="2" t="s">
        <v>1</v>
      </c>
    </row>
    <row r="5" customFormat="false" ht="14.25" hidden="false" customHeight="false" outlineLevel="0" collapsed="false">
      <c r="A5" s="1" t="s">
        <v>7</v>
      </c>
      <c r="B5" s="2" t="s">
        <v>8</v>
      </c>
    </row>
    <row r="7" customFormat="false" ht="14.25" hidden="false" customHeight="false" outlineLevel="0" collapsed="false">
      <c r="A7" s="3" t="s">
        <v>9</v>
      </c>
      <c r="B7" s="4" t="s">
        <v>10</v>
      </c>
    </row>
    <row r="8" customFormat="false" ht="14.25" hidden="false" customHeight="false" outlineLevel="0" collapsed="false">
      <c r="A8" s="5" t="s">
        <v>11</v>
      </c>
      <c r="B8" s="6"/>
    </row>
    <row r="9" customFormat="false" ht="14.25" hidden="false" customHeight="false" outlineLevel="0" collapsed="false">
      <c r="A9" s="7" t="s">
        <v>12</v>
      </c>
      <c r="B9" s="8"/>
    </row>
    <row r="10" customFormat="false" ht="14.25" hidden="false" customHeight="false" outlineLevel="0" collapsed="false">
      <c r="A10" s="7" t="s">
        <v>13</v>
      </c>
      <c r="B10" s="9"/>
    </row>
    <row r="11" customFormat="false" ht="14.25" hidden="false" customHeight="false" outlineLevel="0" collapsed="false">
      <c r="A11" s="10" t="s">
        <v>14</v>
      </c>
      <c r="B1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64"/>
  <sheetViews>
    <sheetView showFormulas="false" showGridLines="true" showRowColHeaders="true" showZeros="true" rightToLeft="false" tabSelected="true" showOutlineSymbols="true" defaultGridColor="true" view="normal" topLeftCell="B1" colorId="64" zoomScale="70" zoomScaleNormal="70" zoomScalePageLayoutView="100" workbookViewId="0">
      <selection pane="topLeft" activeCell="Y24" activeCellId="0" sqref="Y24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33.56"/>
    <col collapsed="false" customWidth="true" hidden="false" outlineLevel="0" max="2" min="2" style="0" width="12.78"/>
    <col collapsed="false" customWidth="true" hidden="false" outlineLevel="0" max="3" min="3" style="0" width="10.33"/>
    <col collapsed="false" customWidth="true" hidden="false" outlineLevel="0" max="4" min="4" style="0" width="14.66"/>
    <col collapsed="false" customWidth="true" hidden="false" outlineLevel="0" max="5" min="5" style="0" width="12.66"/>
    <col collapsed="false" customWidth="true" hidden="false" outlineLevel="0" max="7" min="7" style="0" width="14.89"/>
  </cols>
  <sheetData>
    <row r="2" customFormat="false" ht="64.5" hidden="false" customHeight="true" outlineLevel="0" collapsed="false">
      <c r="A2" s="0" t="s">
        <v>9</v>
      </c>
      <c r="B2" s="12" t="s">
        <v>15</v>
      </c>
      <c r="C2" s="12" t="s">
        <v>16</v>
      </c>
      <c r="D2" s="12" t="s">
        <v>4</v>
      </c>
      <c r="E2" s="12" t="s">
        <v>0</v>
      </c>
      <c r="F2" s="12" t="s">
        <v>2</v>
      </c>
      <c r="G2" s="12" t="s">
        <v>7</v>
      </c>
      <c r="H2" s="12" t="s">
        <v>6</v>
      </c>
    </row>
    <row r="3" customFormat="false" ht="14.25" hidden="false" customHeight="false" outlineLevel="0" collapsed="false">
      <c r="A3" s="0" t="s">
        <v>17</v>
      </c>
      <c r="B3" s="13" t="n">
        <f aca="false">IF(D3="Bajo",1,IF(D3="Medio",2,3))+MOD(ROW()-3,9)*0.05</f>
        <v>3</v>
      </c>
      <c r="C3" s="13" t="n">
        <f aca="false">(IF(F3="No",1,0)+IF(G3="Si",1,0)+IF(E3="Si",1,0))+MOD(ROW()-3,7)*0.06</f>
        <v>2</v>
      </c>
      <c r="D3" s="14" t="s">
        <v>5</v>
      </c>
      <c r="E3" s="14" t="s">
        <v>3</v>
      </c>
      <c r="F3" s="14" t="s">
        <v>8</v>
      </c>
      <c r="G3" s="14" t="s">
        <v>8</v>
      </c>
      <c r="H3" s="0" t="str">
        <f aca="false">IF(D3="Bajo",IF(AND(F3="No",G3="Si",E3="Si"),"Actividad","Rescatar"),IF(AND(F3="No",G3="Si",E3="Si"),"Retener","Enfoque"))</f>
        <v>Enfoque</v>
      </c>
    </row>
    <row r="4" customFormat="false" ht="14.25" hidden="false" customHeight="false" outlineLevel="0" collapsed="false">
      <c r="A4" s="0" t="s">
        <v>18</v>
      </c>
      <c r="B4" s="13" t="n">
        <f aca="false">IF(D4="Bajo",1,IF(D4="Medio",2,3))+MOD(ROW()-3,9)*0.05</f>
        <v>1.05</v>
      </c>
      <c r="C4" s="13" t="n">
        <f aca="false">(IF(F4="No",1,0)+IF(G4="Si",1,0)+IF(E4="Si",1,0))+MOD(ROW()-3,7)*0.06</f>
        <v>0.06</v>
      </c>
      <c r="D4" s="14" t="s">
        <v>19</v>
      </c>
      <c r="E4" s="14" t="s">
        <v>8</v>
      </c>
      <c r="F4" s="14" t="s">
        <v>3</v>
      </c>
      <c r="G4" s="14" t="s">
        <v>8</v>
      </c>
      <c r="H4" s="0" t="str">
        <f aca="false">IF(D4="Bajo",IF(AND(F4="No",G4="Si",E4="Si"),"Actividad","Rescatar"),IF(AND(F4="No",G4="Si",E4="Si"),"Retener","Enfoque"))</f>
        <v>Rescatar</v>
      </c>
    </row>
    <row r="5" customFormat="false" ht="14.25" hidden="false" customHeight="false" outlineLevel="0" collapsed="false">
      <c r="A5" s="0" t="s">
        <v>20</v>
      </c>
      <c r="B5" s="13" t="n">
        <f aca="false">IF(D5="Bajo",1,IF(D5="Medio",2,3))+MOD(ROW()-3,9)*0.05</f>
        <v>1.1</v>
      </c>
      <c r="C5" s="13" t="n">
        <f aca="false">(IF(F5="No",1,0)+IF(G5="Si",1,0)+IF(E5="Si",1,0))+MOD(ROW()-3,7)*0.06</f>
        <v>0.12</v>
      </c>
      <c r="D5" s="14" t="s">
        <v>19</v>
      </c>
      <c r="E5" s="14" t="s">
        <v>8</v>
      </c>
      <c r="F5" s="14" t="s">
        <v>3</v>
      </c>
      <c r="G5" s="14" t="s">
        <v>8</v>
      </c>
      <c r="H5" s="0" t="str">
        <f aca="false">IF(D5="Bajo",IF(AND(F5="No",G5="Si",E5="Si"),"Actividad","Rescatar"),IF(AND(F5="No",G5="Si",E5="Si"),"Retener","Enfoque"))</f>
        <v>Rescatar</v>
      </c>
    </row>
    <row r="6" customFormat="false" ht="14.25" hidden="false" customHeight="false" outlineLevel="0" collapsed="false">
      <c r="A6" s="0" t="s">
        <v>21</v>
      </c>
      <c r="B6" s="13" t="n">
        <f aca="false">IF(D6="Bajo",1,IF(D6="Medio",2,3))+MOD(ROW()-3,9)*0.05</f>
        <v>1.15</v>
      </c>
      <c r="C6" s="13" t="n">
        <f aca="false">(IF(F6="No",1,0)+IF(G6="Si",1,0)+IF(E6="Si",1,0))+MOD(ROW()-3,7)*0.06</f>
        <v>0.18</v>
      </c>
      <c r="D6" s="14" t="s">
        <v>19</v>
      </c>
      <c r="E6" s="14" t="s">
        <v>8</v>
      </c>
      <c r="F6" s="14" t="s">
        <v>3</v>
      </c>
      <c r="G6" s="14" t="s">
        <v>8</v>
      </c>
      <c r="H6" s="0" t="str">
        <f aca="false">IF(D6="Bajo",IF(AND(F6="No",G6="Si",E6="Si"),"Actividad","Rescatar"),IF(AND(F6="No",G6="Si",E6="Si"),"Retener","Enfoque"))</f>
        <v>Rescatar</v>
      </c>
      <c r="O6" s="15" t="s">
        <v>5</v>
      </c>
    </row>
    <row r="7" customFormat="false" ht="14.25" hidden="false" customHeight="false" outlineLevel="0" collapsed="false">
      <c r="A7" s="0" t="s">
        <v>22</v>
      </c>
      <c r="B7" s="13" t="n">
        <f aca="false">IF(D7="Bajo",1,IF(D7="Medio",2,3))+MOD(ROW()-3,9)*0.05</f>
        <v>1.2</v>
      </c>
      <c r="C7" s="13" t="n">
        <f aca="false">(IF(F7="No",1,0)+IF(G7="Si",1,0)+IF(E7="Si",1,0))+MOD(ROW()-3,7)*0.06</f>
        <v>2.24</v>
      </c>
      <c r="D7" s="14" t="s">
        <v>19</v>
      </c>
      <c r="E7" s="14" t="s">
        <v>8</v>
      </c>
      <c r="F7" s="14" t="s">
        <v>8</v>
      </c>
      <c r="G7" s="14" t="s">
        <v>3</v>
      </c>
      <c r="H7" s="0" t="str">
        <f aca="false">IF(D7="Bajo",IF(AND(F7="No",G7="Si",E7="Si"),"Actividad","Rescatar"),IF(AND(F7="No",G7="Si",E7="Si"),"Retener","Enfoque"))</f>
        <v>Rescatar</v>
      </c>
      <c r="O7" s="15" t="s">
        <v>23</v>
      </c>
    </row>
    <row r="8" customFormat="false" ht="14.25" hidden="false" customHeight="false" outlineLevel="0" collapsed="false">
      <c r="A8" s="0" t="s">
        <v>24</v>
      </c>
      <c r="B8" s="13" t="n">
        <f aca="false">IF(D8="Bajo",1,IF(D8="Medio",2,3))+MOD(ROW()-3,9)*0.05</f>
        <v>3.25</v>
      </c>
      <c r="C8" s="13" t="n">
        <f aca="false">(IF(F8="No",1,0)+IF(G8="Si",1,0)+IF(E8="Si",1,0))+MOD(ROW()-3,7)*0.06</f>
        <v>2.3</v>
      </c>
      <c r="D8" s="14" t="s">
        <v>5</v>
      </c>
      <c r="E8" s="14" t="s">
        <v>8</v>
      </c>
      <c r="F8" s="14" t="s">
        <v>8</v>
      </c>
      <c r="G8" s="14" t="s">
        <v>3</v>
      </c>
      <c r="H8" s="0" t="str">
        <f aca="false">IF(D8="Bajo",IF(AND(F8="No",G8="Si",E8="Si"),"Actividad","Rescatar"),IF(AND(F8="No",G8="Si",E8="Si"),"Retener","Enfoque"))</f>
        <v>Enfoque</v>
      </c>
      <c r="O8" s="15" t="s">
        <v>19</v>
      </c>
    </row>
    <row r="9" customFormat="false" ht="14.25" hidden="false" customHeight="false" outlineLevel="0" collapsed="false">
      <c r="A9" s="0" t="s">
        <v>25</v>
      </c>
      <c r="B9" s="13" t="n">
        <f aca="false">IF(D9="Bajo",1,IF(D9="Medio",2,3))+MOD(ROW()-3,9)*0.05</f>
        <v>1.3</v>
      </c>
      <c r="C9" s="13" t="n">
        <f aca="false">(IF(F9="No",1,0)+IF(G9="Si",1,0)+IF(E9="Si",1,0))+MOD(ROW()-3,7)*0.06</f>
        <v>0.36</v>
      </c>
      <c r="D9" s="14" t="s">
        <v>19</v>
      </c>
      <c r="E9" s="14" t="s">
        <v>8</v>
      </c>
      <c r="F9" s="14" t="s">
        <v>3</v>
      </c>
      <c r="G9" s="14" t="s">
        <v>8</v>
      </c>
      <c r="H9" s="0" t="str">
        <f aca="false">IF(D9="Bajo",IF(AND(F9="No",G9="Si",E9="Si"),"Actividad","Rescatar"),IF(AND(F9="No",G9="Si",E9="Si"),"Retener","Enfoque"))</f>
        <v>Rescatar</v>
      </c>
    </row>
    <row r="10" customFormat="false" ht="14.25" hidden="false" customHeight="false" outlineLevel="0" collapsed="false">
      <c r="A10" s="0" t="s">
        <v>26</v>
      </c>
      <c r="B10" s="13" t="n">
        <f aca="false">IF(D10="Bajo",1,IF(D10="Medio",2,3))+MOD(ROW()-3,9)*0.05</f>
        <v>3.35</v>
      </c>
      <c r="C10" s="13" t="n">
        <f aca="false">(IF(F10="No",1,0)+IF(G10="Si",1,0)+IF(E10="Si",1,0))+MOD(ROW()-3,7)*0.06</f>
        <v>3</v>
      </c>
      <c r="D10" s="14" t="s">
        <v>5</v>
      </c>
      <c r="E10" s="14" t="s">
        <v>3</v>
      </c>
      <c r="F10" s="14" t="s">
        <v>8</v>
      </c>
      <c r="G10" s="14" t="s">
        <v>3</v>
      </c>
      <c r="H10" s="0" t="str">
        <f aca="false">IF(D10="Bajo",IF(AND(F10="No",G10="Si",E10="Si"),"Actividad","Rescatar"),IF(AND(F10="No",G10="Si",E10="Si"),"Retener","Enfoque"))</f>
        <v>Retener</v>
      </c>
    </row>
    <row r="11" customFormat="false" ht="14.25" hidden="false" customHeight="false" outlineLevel="0" collapsed="false">
      <c r="A11" s="0" t="s">
        <v>27</v>
      </c>
      <c r="B11" s="13" t="n">
        <f aca="false">IF(D11="Bajo",1,IF(D11="Medio",2,3))+MOD(ROW()-3,9)*0.05</f>
        <v>2.4</v>
      </c>
      <c r="C11" s="13" t="n">
        <f aca="false">(IF(F11="No",1,0)+IF(G11="Si",1,0)+IF(E11="Si",1,0))+MOD(ROW()-3,7)*0.06</f>
        <v>1.06</v>
      </c>
      <c r="D11" s="14" t="s">
        <v>23</v>
      </c>
      <c r="E11" s="14" t="s">
        <v>8</v>
      </c>
      <c r="F11" s="14" t="s">
        <v>8</v>
      </c>
      <c r="G11" s="14" t="s">
        <v>8</v>
      </c>
      <c r="H11" s="0" t="str">
        <f aca="false">IF(D11="Bajo",IF(AND(F11="No",G11="Si",E11="Si"),"Actividad","Rescatar"),IF(AND(F11="No",G11="Si",E11="Si"),"Retener","Enfoque"))</f>
        <v>Enfoque</v>
      </c>
    </row>
    <row r="12" customFormat="false" ht="14.25" hidden="false" customHeight="false" outlineLevel="0" collapsed="false">
      <c r="A12" s="0" t="s">
        <v>28</v>
      </c>
      <c r="B12" s="13" t="n">
        <f aca="false">IF(D12="Bajo",1,IF(D12="Medio",2,3))+MOD(ROW()-3,9)*0.05</f>
        <v>1</v>
      </c>
      <c r="C12" s="13" t="n">
        <f aca="false">(IF(F12="No",1,0)+IF(G12="Si",1,0)+IF(E12="Si",1,0))+MOD(ROW()-3,7)*0.06</f>
        <v>0.12</v>
      </c>
      <c r="D12" s="14" t="s">
        <v>19</v>
      </c>
      <c r="E12" s="14" t="s">
        <v>8</v>
      </c>
      <c r="F12" s="14" t="s">
        <v>3</v>
      </c>
      <c r="G12" s="14" t="s">
        <v>8</v>
      </c>
      <c r="H12" s="0" t="str">
        <f aca="false">IF(D12="Bajo",IF(AND(F12="No",G12="Si",E12="Si"),"Actividad","Rescatar"),IF(AND(F12="No",G12="Si",E12="Si"),"Retener","Enfoque"))</f>
        <v>Rescatar</v>
      </c>
    </row>
    <row r="13" customFormat="false" ht="14.25" hidden="false" customHeight="false" outlineLevel="0" collapsed="false">
      <c r="A13" s="0" t="s">
        <v>29</v>
      </c>
      <c r="B13" s="13" t="n">
        <f aca="false">IF(D13="Bajo",1,IF(D13="Medio",2,3))+MOD(ROW()-3,9)*0.05</f>
        <v>3.05</v>
      </c>
      <c r="C13" s="13" t="n">
        <f aca="false">(IF(F13="No",1,0)+IF(G13="Si",1,0)+IF(E13="Si",1,0))+MOD(ROW()-3,7)*0.06</f>
        <v>2.18</v>
      </c>
      <c r="D13" s="14" t="s">
        <v>5</v>
      </c>
      <c r="E13" s="14" t="s">
        <v>3</v>
      </c>
      <c r="F13" s="14" t="s">
        <v>8</v>
      </c>
      <c r="G13" s="14" t="s">
        <v>8</v>
      </c>
      <c r="H13" s="0" t="str">
        <f aca="false">IF(D13="Bajo",IF(AND(F13="No",G13="Si",E13="Si"),"Actividad","Rescatar"),IF(AND(F13="No",G13="Si",E13="Si"),"Retener","Enfoque"))</f>
        <v>Enfoque</v>
      </c>
    </row>
    <row r="14" customFormat="false" ht="14.25" hidden="false" customHeight="false" outlineLevel="0" collapsed="false">
      <c r="A14" s="0" t="s">
        <v>30</v>
      </c>
      <c r="B14" s="13" t="n">
        <f aca="false">IF(D14="Bajo",1,IF(D14="Medio",2,3))+MOD(ROW()-3,9)*0.05</f>
        <v>3.1</v>
      </c>
      <c r="C14" s="13" t="n">
        <f aca="false">(IF(F14="No",1,0)+IF(G14="Si",1,0)+IF(E14="Si",1,0))+MOD(ROW()-3,7)*0.06</f>
        <v>2.24</v>
      </c>
      <c r="D14" s="14" t="s">
        <v>5</v>
      </c>
      <c r="E14" s="14" t="s">
        <v>3</v>
      </c>
      <c r="F14" s="14" t="s">
        <v>3</v>
      </c>
      <c r="G14" s="14" t="s">
        <v>3</v>
      </c>
      <c r="H14" s="0" t="str">
        <f aca="false">IF(D14="Bajo",IF(AND(F14="No",G14="Si",E14="Si"),"Actividad","Rescatar"),IF(AND(F14="No",G14="Si",E14="Si"),"Retener","Enfoque"))</f>
        <v>Enfoque</v>
      </c>
    </row>
    <row r="15" customFormat="false" ht="14.25" hidden="false" customHeight="false" outlineLevel="0" collapsed="false">
      <c r="A15" s="0" t="s">
        <v>31</v>
      </c>
      <c r="B15" s="13" t="n">
        <f aca="false">IF(D15="Bajo",1,IF(D15="Medio",2,3))+MOD(ROW()-3,9)*0.05</f>
        <v>3.15</v>
      </c>
      <c r="C15" s="13" t="n">
        <f aca="false">(IF(F15="No",1,0)+IF(G15="Si",1,0)+IF(E15="Si",1,0))+MOD(ROW()-3,7)*0.06</f>
        <v>2.3</v>
      </c>
      <c r="D15" s="14" t="s">
        <v>5</v>
      </c>
      <c r="E15" s="14" t="s">
        <v>3</v>
      </c>
      <c r="F15" s="14" t="s">
        <v>8</v>
      </c>
      <c r="G15" s="14" t="s">
        <v>8</v>
      </c>
      <c r="H15" s="0" t="str">
        <f aca="false">IF(D15="Bajo",IF(AND(F15="No",G15="Si",E15="Si"),"Actividad","Rescatar"),IF(AND(F15="No",G15="Si",E15="Si"),"Retener","Enfoque"))</f>
        <v>Enfoque</v>
      </c>
    </row>
    <row r="16" customFormat="false" ht="14.25" hidden="false" customHeight="false" outlineLevel="0" collapsed="false">
      <c r="A16" s="0" t="s">
        <v>32</v>
      </c>
      <c r="B16" s="13" t="n">
        <f aca="false">IF(D16="Bajo",1,IF(D16="Medio",2,3))+MOD(ROW()-3,9)*0.05</f>
        <v>1.2</v>
      </c>
      <c r="C16" s="13" t="n">
        <f aca="false">(IF(F16="No",1,0)+IF(G16="Si",1,0)+IF(E16="Si",1,0))+MOD(ROW()-3,7)*0.06</f>
        <v>0.36</v>
      </c>
      <c r="D16" s="14" t="s">
        <v>19</v>
      </c>
      <c r="E16" s="14" t="s">
        <v>8</v>
      </c>
      <c r="F16" s="14" t="s">
        <v>3</v>
      </c>
      <c r="G16" s="14" t="s">
        <v>8</v>
      </c>
      <c r="H16" s="0" t="str">
        <f aca="false">IF(D16="Bajo",IF(AND(F16="No",G16="Si",E16="Si"),"Actividad","Rescatar"),IF(AND(F16="No",G16="Si",E16="Si"),"Retener","Enfoque"))</f>
        <v>Rescatar</v>
      </c>
    </row>
    <row r="17" customFormat="false" ht="14.25" hidden="false" customHeight="false" outlineLevel="0" collapsed="false">
      <c r="A17" s="0" t="s">
        <v>33</v>
      </c>
      <c r="B17" s="13" t="n">
        <f aca="false">IF(D17="Bajo",1,IF(D17="Medio",2,3))+MOD(ROW()-3,9)*0.05</f>
        <v>1.25</v>
      </c>
      <c r="C17" s="13" t="n">
        <f aca="false">(IF(F17="No",1,0)+IF(G17="Si",1,0)+IF(E17="Si",1,0))+MOD(ROW()-3,7)*0.06</f>
        <v>0</v>
      </c>
      <c r="D17" s="14" t="s">
        <v>19</v>
      </c>
      <c r="E17" s="14" t="s">
        <v>8</v>
      </c>
      <c r="F17" s="14" t="s">
        <v>3</v>
      </c>
      <c r="G17" s="14" t="s">
        <v>8</v>
      </c>
      <c r="H17" s="0" t="str">
        <f aca="false">IF(D17="Bajo",IF(AND(F17="No",G17="Si",E17="Si"),"Actividad","Rescatar"),IF(AND(F17="No",G17="Si",E17="Si"),"Retener","Enfoque"))</f>
        <v>Rescatar</v>
      </c>
    </row>
    <row r="18" customFormat="false" ht="14.25" hidden="false" customHeight="false" outlineLevel="0" collapsed="false">
      <c r="A18" s="0" t="s">
        <v>34</v>
      </c>
      <c r="B18" s="13" t="n">
        <f aca="false">IF(D18="Bajo",1,IF(D18="Medio",2,3))+MOD(ROW()-3,9)*0.05</f>
        <v>1.3</v>
      </c>
      <c r="C18" s="13" t="n">
        <f aca="false">(IF(F18="No",1,0)+IF(G18="Si",1,0)+IF(E18="Si",1,0))+MOD(ROW()-3,7)*0.06</f>
        <v>0.06</v>
      </c>
      <c r="D18" s="14" t="s">
        <v>19</v>
      </c>
      <c r="E18" s="14" t="s">
        <v>8</v>
      </c>
      <c r="F18" s="14" t="s">
        <v>3</v>
      </c>
      <c r="G18" s="14" t="s">
        <v>8</v>
      </c>
      <c r="H18" s="0" t="str">
        <f aca="false">IF(D18="Bajo",IF(AND(F18="No",G18="Si",E18="Si"),"Actividad","Rescatar"),IF(AND(F18="No",G18="Si",E18="Si"),"Retener","Enfoque"))</f>
        <v>Rescatar</v>
      </c>
    </row>
    <row r="19" customFormat="false" ht="14.25" hidden="false" customHeight="false" outlineLevel="0" collapsed="false">
      <c r="A19" s="0" t="s">
        <v>35</v>
      </c>
      <c r="B19" s="13" t="n">
        <f aca="false">IF(D19="Bajo",1,IF(D19="Medio",2,3))+MOD(ROW()-3,9)*0.05</f>
        <v>2.35</v>
      </c>
      <c r="C19" s="13" t="n">
        <f aca="false">(IF(F19="No",1,0)+IF(G19="Si",1,0)+IF(E19="Si",1,0))+MOD(ROW()-3,7)*0.06</f>
        <v>3.12</v>
      </c>
      <c r="D19" s="14" t="s">
        <v>23</v>
      </c>
      <c r="E19" s="14" t="s">
        <v>3</v>
      </c>
      <c r="F19" s="14" t="s">
        <v>8</v>
      </c>
      <c r="G19" s="14" t="s">
        <v>3</v>
      </c>
      <c r="H19" s="0" t="str">
        <f aca="false">IF(D19="Bajo",IF(AND(F19="No",G19="Si",E19="Si"),"Actividad","Rescatar"),IF(AND(F19="No",G19="Si",E19="Si"),"Retener","Enfoque"))</f>
        <v>Retener</v>
      </c>
    </row>
    <row r="20" customFormat="false" ht="14.25" hidden="false" customHeight="false" outlineLevel="0" collapsed="false">
      <c r="A20" s="0" t="s">
        <v>36</v>
      </c>
      <c r="B20" s="13" t="n">
        <f aca="false">IF(D20="Bajo",1,IF(D20="Medio",2,3))+MOD(ROW()-3,9)*0.05</f>
        <v>1.4</v>
      </c>
      <c r="C20" s="13" t="n">
        <f aca="false">(IF(F20="No",1,0)+IF(G20="Si",1,0)+IF(E20="Si",1,0))+MOD(ROW()-3,7)*0.06</f>
        <v>0.18</v>
      </c>
      <c r="D20" s="14" t="s">
        <v>19</v>
      </c>
      <c r="E20" s="14" t="s">
        <v>8</v>
      </c>
      <c r="F20" s="14" t="s">
        <v>3</v>
      </c>
      <c r="G20" s="14" t="s">
        <v>8</v>
      </c>
      <c r="H20" s="0" t="str">
        <f aca="false">IF(D20="Bajo",IF(AND(F20="No",G20="Si",E20="Si"),"Actividad","Rescatar"),IF(AND(F20="No",G20="Si",E20="Si"),"Retener","Enfoque"))</f>
        <v>Rescatar</v>
      </c>
    </row>
    <row r="21" customFormat="false" ht="14.25" hidden="false" customHeight="false" outlineLevel="0" collapsed="false">
      <c r="A21" s="0" t="s">
        <v>12</v>
      </c>
      <c r="B21" s="13" t="n">
        <f aca="false">IF(D21="Bajo",1,IF(D21="Medio",2,3))+MOD(ROW()-3,9)*0.05</f>
        <v>3</v>
      </c>
      <c r="C21" s="13" t="n">
        <f aca="false">(IF(F21="No",1,0)+IF(G21="Si",1,0)+IF(E21="Si",1,0))+MOD(ROW()-3,7)*0.06</f>
        <v>1.24</v>
      </c>
      <c r="D21" s="14" t="s">
        <v>5</v>
      </c>
      <c r="E21" s="14" t="s">
        <v>3</v>
      </c>
      <c r="F21" s="14" t="s">
        <v>3</v>
      </c>
      <c r="G21" s="14" t="s">
        <v>8</v>
      </c>
      <c r="H21" s="0" t="str">
        <f aca="false">IF(D21="Bajo",IF(AND(F21="No",G21="Si",E21="Si"),"Actividad","Rescatar"),IF(AND(F21="No",G21="Si",E21="Si"),"Retener","Enfoque"))</f>
        <v>Enfoque</v>
      </c>
    </row>
    <row r="22" customFormat="false" ht="14.25" hidden="false" customHeight="false" outlineLevel="0" collapsed="false">
      <c r="A22" s="0" t="s">
        <v>37</v>
      </c>
      <c r="B22" s="13" t="n">
        <f aca="false">IF(D22="Bajo",1,IF(D22="Medio",2,3))+MOD(ROW()-3,9)*0.05</f>
        <v>1.05</v>
      </c>
      <c r="C22" s="13" t="n">
        <f aca="false">(IF(F22="No",1,0)+IF(G22="Si",1,0)+IF(E22="Si",1,0))+MOD(ROW()-3,7)*0.06</f>
        <v>0.3</v>
      </c>
      <c r="D22" s="14" t="s">
        <v>19</v>
      </c>
      <c r="E22" s="14" t="s">
        <v>8</v>
      </c>
      <c r="F22" s="14" t="s">
        <v>3</v>
      </c>
      <c r="G22" s="14" t="s">
        <v>8</v>
      </c>
      <c r="H22" s="0" t="str">
        <f aca="false">IF(D22="Bajo",IF(AND(F22="No",G22="Si",E22="Si"),"Actividad","Rescatar"),IF(AND(F22="No",G22="Si",E22="Si"),"Retener","Enfoque"))</f>
        <v>Rescatar</v>
      </c>
    </row>
    <row r="23" customFormat="false" ht="14.25" hidden="false" customHeight="false" outlineLevel="0" collapsed="false">
      <c r="A23" s="0" t="s">
        <v>38</v>
      </c>
      <c r="B23" s="13" t="n">
        <f aca="false">IF(D23="Bajo",1,IF(D23="Medio",2,3))+MOD(ROW()-3,9)*0.05</f>
        <v>1.1</v>
      </c>
      <c r="C23" s="13" t="n">
        <f aca="false">(IF(F23="No",1,0)+IF(G23="Si",1,0)+IF(E23="Si",1,0))+MOD(ROW()-3,7)*0.06</f>
        <v>0.36</v>
      </c>
      <c r="D23" s="14" t="s">
        <v>19</v>
      </c>
      <c r="E23" s="14" t="s">
        <v>8</v>
      </c>
      <c r="F23" s="14" t="s">
        <v>3</v>
      </c>
      <c r="G23" s="14" t="s">
        <v>8</v>
      </c>
      <c r="H23" s="0" t="str">
        <f aca="false">IF(D23="Bajo",IF(AND(F23="No",G23="Si",E23="Si"),"Actividad","Rescatar"),IF(AND(F23="No",G23="Si",E23="Si"),"Retener","Enfoque"))</f>
        <v>Rescatar</v>
      </c>
    </row>
    <row r="24" customFormat="false" ht="14.25" hidden="false" customHeight="false" outlineLevel="0" collapsed="false">
      <c r="A24" s="0" t="s">
        <v>39</v>
      </c>
      <c r="B24" s="13" t="n">
        <f aca="false">IF(D24="Bajo",1,IF(D24="Medio",2,3))+MOD(ROW()-3,9)*0.05</f>
        <v>3.15</v>
      </c>
      <c r="C24" s="13" t="n">
        <f aca="false">(IF(F24="No",1,0)+IF(G24="Si",1,0)+IF(E24="Si",1,0))+MOD(ROW()-3,7)*0.06</f>
        <v>2</v>
      </c>
      <c r="D24" s="14" t="s">
        <v>5</v>
      </c>
      <c r="E24" s="14" t="s">
        <v>3</v>
      </c>
      <c r="F24" s="14" t="s">
        <v>8</v>
      </c>
      <c r="G24" s="14" t="s">
        <v>8</v>
      </c>
      <c r="H24" s="0" t="str">
        <f aca="false">IF(D24="Bajo",IF(AND(F24="No",G24="Si",E24="Si"),"Actividad","Rescatar"),IF(AND(F24="No",G24="Si",E24="Si"),"Retener","Enfoque"))</f>
        <v>Enfoque</v>
      </c>
    </row>
    <row r="25" customFormat="false" ht="14.25" hidden="false" customHeight="false" outlineLevel="0" collapsed="false">
      <c r="A25" s="0" t="s">
        <v>40</v>
      </c>
      <c r="B25" s="13" t="n">
        <f aca="false">IF(D25="Bajo",1,IF(D25="Medio",2,3))+MOD(ROW()-3,9)*0.05</f>
        <v>2.2</v>
      </c>
      <c r="C25" s="13" t="n">
        <f aca="false">(IF(F25="No",1,0)+IF(G25="Si",1,0)+IF(E25="Si",1,0))+MOD(ROW()-3,7)*0.06</f>
        <v>2.06</v>
      </c>
      <c r="D25" s="14" t="s">
        <v>23</v>
      </c>
      <c r="E25" s="14" t="s">
        <v>3</v>
      </c>
      <c r="F25" s="14" t="s">
        <v>3</v>
      </c>
      <c r="G25" s="14" t="s">
        <v>3</v>
      </c>
      <c r="H25" s="0" t="str">
        <f aca="false">IF(D25="Bajo",IF(AND(F25="No",G25="Si",E25="Si"),"Actividad","Rescatar"),IF(AND(F25="No",G25="Si",E25="Si"),"Retener","Enfoque"))</f>
        <v>Enfoque</v>
      </c>
    </row>
    <row r="26" customFormat="false" ht="14.25" hidden="false" customHeight="false" outlineLevel="0" collapsed="false">
      <c r="A26" s="0" t="s">
        <v>41</v>
      </c>
      <c r="B26" s="13" t="n">
        <f aca="false">IF(D26="Bajo",1,IF(D26="Medio",2,3))+MOD(ROW()-3,9)*0.05</f>
        <v>3.25</v>
      </c>
      <c r="C26" s="13" t="n">
        <f aca="false">(IF(F26="No",1,0)+IF(G26="Si",1,0)+IF(E26="Si",1,0))+MOD(ROW()-3,7)*0.06</f>
        <v>2.12</v>
      </c>
      <c r="D26" s="14" t="s">
        <v>5</v>
      </c>
      <c r="E26" s="14" t="s">
        <v>3</v>
      </c>
      <c r="F26" s="14" t="s">
        <v>8</v>
      </c>
      <c r="G26" s="14" t="s">
        <v>8</v>
      </c>
      <c r="H26" s="0" t="str">
        <f aca="false">IF(D26="Bajo",IF(AND(F26="No",G26="Si",E26="Si"),"Actividad","Rescatar"),IF(AND(F26="No",G26="Si",E26="Si"),"Retener","Enfoque"))</f>
        <v>Enfoque</v>
      </c>
    </row>
    <row r="27" customFormat="false" ht="14.25" hidden="false" customHeight="false" outlineLevel="0" collapsed="false">
      <c r="A27" s="0" t="s">
        <v>42</v>
      </c>
      <c r="B27" s="13" t="n">
        <f aca="false">IF(D27="Bajo",1,IF(D27="Medio",2,3))+MOD(ROW()-3,9)*0.05</f>
        <v>1.3</v>
      </c>
      <c r="C27" s="13" t="n">
        <f aca="false">(IF(F27="No",1,0)+IF(G27="Si",1,0)+IF(E27="Si",1,0))+MOD(ROW()-3,7)*0.06</f>
        <v>0.18</v>
      </c>
      <c r="D27" s="14" t="s">
        <v>19</v>
      </c>
      <c r="E27" s="14" t="s">
        <v>8</v>
      </c>
      <c r="F27" s="14" t="s">
        <v>3</v>
      </c>
      <c r="G27" s="14" t="s">
        <v>8</v>
      </c>
      <c r="H27" s="0" t="str">
        <f aca="false">IF(D27="Bajo",IF(AND(F27="No",G27="Si",E27="Si"),"Actividad","Rescatar"),IF(AND(F27="No",G27="Si",E27="Si"),"Retener","Enfoque"))</f>
        <v>Rescatar</v>
      </c>
    </row>
    <row r="28" customFormat="false" ht="14.25" hidden="false" customHeight="false" outlineLevel="0" collapsed="false">
      <c r="A28" s="0" t="s">
        <v>43</v>
      </c>
      <c r="B28" s="13" t="n">
        <f aca="false">IF(D28="Bajo",1,IF(D28="Medio",2,3))+MOD(ROW()-3,9)*0.05</f>
        <v>1.35</v>
      </c>
      <c r="C28" s="13" t="n">
        <f aca="false">(IF(F28="No",1,0)+IF(G28="Si",1,0)+IF(E28="Si",1,0))+MOD(ROW()-3,7)*0.06</f>
        <v>0.24</v>
      </c>
      <c r="D28" s="14" t="s">
        <v>19</v>
      </c>
      <c r="E28" s="14" t="s">
        <v>8</v>
      </c>
      <c r="F28" s="14" t="s">
        <v>3</v>
      </c>
      <c r="G28" s="14" t="s">
        <v>8</v>
      </c>
      <c r="H28" s="0" t="str">
        <f aca="false">IF(D28="Bajo",IF(AND(F28="No",G28="Si",E28="Si"),"Actividad","Rescatar"),IF(AND(F28="No",G28="Si",E28="Si"),"Retener","Enfoque"))</f>
        <v>Rescatar</v>
      </c>
    </row>
    <row r="29" customFormat="false" ht="14.25" hidden="false" customHeight="false" outlineLevel="0" collapsed="false">
      <c r="A29" s="0" t="s">
        <v>44</v>
      </c>
      <c r="B29" s="13" t="n">
        <f aca="false">IF(D29="Bajo",1,IF(D29="Medio",2,3))+MOD(ROW()-3,9)*0.05</f>
        <v>3.4</v>
      </c>
      <c r="C29" s="13" t="n">
        <f aca="false">(IF(F29="No",1,0)+IF(G29="Si",1,0)+IF(E29="Si",1,0))+MOD(ROW()-3,7)*0.06</f>
        <v>3.3</v>
      </c>
      <c r="D29" s="14" t="s">
        <v>5</v>
      </c>
      <c r="E29" s="14" t="s">
        <v>3</v>
      </c>
      <c r="F29" s="14" t="s">
        <v>8</v>
      </c>
      <c r="G29" s="14" t="s">
        <v>3</v>
      </c>
      <c r="H29" s="0" t="str">
        <f aca="false">IF(D29="Bajo",IF(AND(F29="No",G29="Si",E29="Si"),"Actividad","Rescatar"),IF(AND(F29="No",G29="Si",E29="Si"),"Retener","Enfoque"))</f>
        <v>Retener</v>
      </c>
    </row>
    <row r="30" customFormat="false" ht="14.25" hidden="false" customHeight="false" outlineLevel="0" collapsed="false">
      <c r="A30" s="0" t="s">
        <v>45</v>
      </c>
      <c r="B30" s="13" t="n">
        <f aca="false">IF(D30="Bajo",1,IF(D30="Medio",2,3))+MOD(ROW()-3,9)*0.05</f>
        <v>1</v>
      </c>
      <c r="C30" s="13" t="n">
        <f aca="false">(IF(F30="No",1,0)+IF(G30="Si",1,0)+IF(E30="Si",1,0))+MOD(ROW()-3,7)*0.06</f>
        <v>1.36</v>
      </c>
      <c r="D30" s="14" t="s">
        <v>19</v>
      </c>
      <c r="E30" s="14" t="s">
        <v>8</v>
      </c>
      <c r="F30" s="14" t="s">
        <v>8</v>
      </c>
      <c r="G30" s="14" t="s">
        <v>8</v>
      </c>
      <c r="H30" s="0" t="str">
        <f aca="false">IF(D30="Bajo",IF(AND(F30="No",G30="Si",E30="Si"),"Actividad","Rescatar"),IF(AND(F30="No",G30="Si",E30="Si"),"Retener","Enfoque"))</f>
        <v>Rescatar</v>
      </c>
    </row>
    <row r="31" customFormat="false" ht="14.25" hidden="false" customHeight="false" outlineLevel="0" collapsed="false">
      <c r="A31" s="0" t="s">
        <v>46</v>
      </c>
      <c r="B31" s="13" t="n">
        <f aca="false">IF(D31="Bajo",1,IF(D31="Medio",2,3))+MOD(ROW()-3,9)*0.05</f>
        <v>3.05</v>
      </c>
      <c r="C31" s="13" t="n">
        <f aca="false">(IF(F31="No",1,0)+IF(G31="Si",1,0)+IF(E31="Si",1,0))+MOD(ROW()-3,7)*0.06</f>
        <v>2</v>
      </c>
      <c r="D31" s="14" t="s">
        <v>5</v>
      </c>
      <c r="E31" s="14" t="s">
        <v>3</v>
      </c>
      <c r="F31" s="14" t="s">
        <v>3</v>
      </c>
      <c r="G31" s="14" t="s">
        <v>3</v>
      </c>
      <c r="H31" s="0" t="str">
        <f aca="false">IF(D31="Bajo",IF(AND(F31="No",G31="Si",E31="Si"),"Actividad","Rescatar"),IF(AND(F31="No",G31="Si",E31="Si"),"Retener","Enfoque"))</f>
        <v>Enfoque</v>
      </c>
    </row>
    <row r="32" customFormat="false" ht="14.25" hidden="false" customHeight="false" outlineLevel="0" collapsed="false">
      <c r="A32" s="0" t="s">
        <v>47</v>
      </c>
      <c r="B32" s="13" t="n">
        <f aca="false">IF(D32="Bajo",1,IF(D32="Medio",2,3))+MOD(ROW()-3,9)*0.05</f>
        <v>3.1</v>
      </c>
      <c r="C32" s="13" t="n">
        <f aca="false">(IF(F32="No",1,0)+IF(G32="Si",1,0)+IF(E32="Si",1,0))+MOD(ROW()-3,7)*0.06</f>
        <v>3.06</v>
      </c>
      <c r="D32" s="14" t="s">
        <v>5</v>
      </c>
      <c r="E32" s="14" t="s">
        <v>3</v>
      </c>
      <c r="F32" s="14" t="s">
        <v>8</v>
      </c>
      <c r="G32" s="14" t="s">
        <v>3</v>
      </c>
      <c r="H32" s="0" t="str">
        <f aca="false">IF(D32="Bajo",IF(AND(F32="No",G32="Si",E32="Si"),"Actividad","Rescatar"),IF(AND(F32="No",G32="Si",E32="Si"),"Retener","Enfoque"))</f>
        <v>Retener</v>
      </c>
    </row>
    <row r="33" customFormat="false" ht="14.25" hidden="false" customHeight="false" outlineLevel="0" collapsed="false">
      <c r="A33" s="0" t="s">
        <v>11</v>
      </c>
      <c r="B33" s="13" t="n">
        <f aca="false">IF(D33="Bajo",1,IF(D33="Medio",2,3))+MOD(ROW()-3,9)*0.05</f>
        <v>3.15</v>
      </c>
      <c r="C33" s="13" t="n">
        <f aca="false">(IF(F33="No",1,0)+IF(G33="Si",1,0)+IF(E33="Si",1,0))+MOD(ROW()-3,7)*0.06</f>
        <v>1.12</v>
      </c>
      <c r="D33" s="14" t="s">
        <v>5</v>
      </c>
      <c r="E33" s="14" t="s">
        <v>3</v>
      </c>
      <c r="F33" s="14" t="s">
        <v>3</v>
      </c>
      <c r="G33" s="14" t="s">
        <v>8</v>
      </c>
      <c r="H33" s="0" t="str">
        <f aca="false">IF(D33="Bajo",IF(AND(F33="No",G33="Si",E33="Si"),"Actividad","Rescatar"),IF(AND(F33="No",G33="Si",E33="Si"),"Retener","Enfoque"))</f>
        <v>Enfoque</v>
      </c>
    </row>
    <row r="34" customFormat="false" ht="14.25" hidden="false" customHeight="false" outlineLevel="0" collapsed="false">
      <c r="A34" s="0" t="s">
        <v>48</v>
      </c>
      <c r="B34" s="13" t="n">
        <f aca="false">IF(D34="Bajo",1,IF(D34="Medio",2,3))+MOD(ROW()-3,9)*0.05</f>
        <v>1.2</v>
      </c>
      <c r="C34" s="13" t="n">
        <f aca="false">(IF(F34="No",1,0)+IF(G34="Si",1,0)+IF(E34="Si",1,0))+MOD(ROW()-3,7)*0.06</f>
        <v>0.18</v>
      </c>
      <c r="D34" s="14" t="s">
        <v>19</v>
      </c>
      <c r="E34" s="14" t="s">
        <v>8</v>
      </c>
      <c r="F34" s="14" t="s">
        <v>3</v>
      </c>
      <c r="G34" s="14" t="s">
        <v>8</v>
      </c>
      <c r="H34" s="0" t="str">
        <f aca="false">IF(D34="Bajo",IF(AND(F34="No",G34="Si",E34="Si"),"Actividad","Rescatar"),IF(AND(F34="No",G34="Si",E34="Si"),"Retener","Enfoque"))</f>
        <v>Rescatar</v>
      </c>
    </row>
    <row r="35" customFormat="false" ht="14.25" hidden="false" customHeight="false" outlineLevel="0" collapsed="false">
      <c r="A35" s="0" t="s">
        <v>49</v>
      </c>
      <c r="B35" s="13" t="n">
        <f aca="false">IF(D35="Bajo",1,IF(D35="Medio",2,3))+MOD(ROW()-3,9)*0.05</f>
        <v>1.25</v>
      </c>
      <c r="C35" s="13" t="n">
        <f aca="false">(IF(F35="No",1,0)+IF(G35="Si",1,0)+IF(E35="Si",1,0))+MOD(ROW()-3,7)*0.06</f>
        <v>0.24</v>
      </c>
      <c r="D35" s="14" t="s">
        <v>19</v>
      </c>
      <c r="E35" s="14" t="s">
        <v>8</v>
      </c>
      <c r="F35" s="14" t="s">
        <v>3</v>
      </c>
      <c r="G35" s="14" t="s">
        <v>8</v>
      </c>
      <c r="H35" s="0" t="str">
        <f aca="false">IF(D35="Bajo",IF(AND(F35="No",G35="Si",E35="Si"),"Actividad","Rescatar"),IF(AND(F35="No",G35="Si",E35="Si"),"Retener","Enfoque"))</f>
        <v>Rescatar</v>
      </c>
      <c r="J35" s="15" t="s">
        <v>50</v>
      </c>
      <c r="K35" s="15" t="s">
        <v>51</v>
      </c>
      <c r="L35" s="15" t="s">
        <v>52</v>
      </c>
    </row>
    <row r="36" customFormat="false" ht="14.25" hidden="false" customHeight="false" outlineLevel="0" collapsed="false">
      <c r="A36" s="0" t="s">
        <v>53</v>
      </c>
      <c r="B36" s="13" t="n">
        <f aca="false">IF(D36="Bajo",1,IF(D36="Medio",2,3))+MOD(ROW()-3,9)*0.05</f>
        <v>1.3</v>
      </c>
      <c r="C36" s="13" t="n">
        <f aca="false">(IF(F36="No",1,0)+IF(G36="Si",1,0)+IF(E36="Si",1,0))+MOD(ROW()-3,7)*0.06</f>
        <v>1.3</v>
      </c>
      <c r="D36" s="14" t="s">
        <v>19</v>
      </c>
      <c r="E36" s="14" t="s">
        <v>8</v>
      </c>
      <c r="F36" s="14" t="s">
        <v>8</v>
      </c>
      <c r="G36" s="14" t="s">
        <v>8</v>
      </c>
      <c r="H36" s="0" t="str">
        <f aca="false">IF(D36="Bajo",IF(AND(F36="No",G36="Si",E36="Si"),"Actividad","Rescatar"),IF(AND(F36="No",G36="Si",E36="Si"),"Retener","Enfoque"))</f>
        <v>Rescatar</v>
      </c>
      <c r="J36" s="15" t="s">
        <v>54</v>
      </c>
      <c r="K36" s="0" t="n">
        <v>0</v>
      </c>
      <c r="L36" s="0" t="n">
        <v>2.5</v>
      </c>
      <c r="P36" s="15" t="s">
        <v>55</v>
      </c>
    </row>
    <row r="37" customFormat="false" ht="14.25" hidden="false" customHeight="false" outlineLevel="0" collapsed="false">
      <c r="A37" s="0" t="s">
        <v>56</v>
      </c>
      <c r="B37" s="13" t="n">
        <f aca="false">IF(D37="Bajo",1,IF(D37="Medio",2,3))+MOD(ROW()-3,9)*0.05</f>
        <v>1.35</v>
      </c>
      <c r="C37" s="13" t="n">
        <f aca="false">(IF(F37="No",1,0)+IF(G37="Si",1,0)+IF(E37="Si",1,0))+MOD(ROW()-3,7)*0.06</f>
        <v>0.36</v>
      </c>
      <c r="D37" s="14" t="s">
        <v>19</v>
      </c>
      <c r="E37" s="14" t="s">
        <v>8</v>
      </c>
      <c r="F37" s="14" t="s">
        <v>3</v>
      </c>
      <c r="G37" s="14" t="s">
        <v>8</v>
      </c>
      <c r="H37" s="0" t="str">
        <f aca="false">IF(D37="Bajo",IF(AND(F37="No",G37="Si",E37="Si"),"Actividad","Rescatar"),IF(AND(F37="No",G37="Si",E37="Si"),"Retener","Enfoque"))</f>
        <v>Rescatar</v>
      </c>
      <c r="J37" s="15" t="s">
        <v>54</v>
      </c>
      <c r="K37" s="0" t="n">
        <v>4</v>
      </c>
      <c r="L37" s="0" t="n">
        <v>2.5</v>
      </c>
      <c r="P37" s="15" t="s">
        <v>57</v>
      </c>
    </row>
    <row r="38" customFormat="false" ht="14.25" hidden="false" customHeight="false" outlineLevel="0" collapsed="false">
      <c r="A38" s="0" t="s">
        <v>58</v>
      </c>
      <c r="B38" s="13" t="n">
        <f aca="false">IF(D38="Bajo",1,IF(D38="Medio",2,3))+MOD(ROW()-3,9)*0.05</f>
        <v>3.4</v>
      </c>
      <c r="C38" s="13" t="n">
        <f aca="false">(IF(F38="No",1,0)+IF(G38="Si",1,0)+IF(E38="Si",1,0))+MOD(ROW()-3,7)*0.06</f>
        <v>3</v>
      </c>
      <c r="D38" s="14" t="s">
        <v>5</v>
      </c>
      <c r="E38" s="14" t="s">
        <v>3</v>
      </c>
      <c r="F38" s="14" t="s">
        <v>8</v>
      </c>
      <c r="G38" s="14" t="s">
        <v>3</v>
      </c>
      <c r="H38" s="0" t="str">
        <f aca="false">IF(D38="Bajo",IF(AND(F38="No",G38="Si",E38="Si"),"Actividad","Rescatar"),IF(AND(F38="No",G38="Si",E38="Si"),"Retener","Enfoque"))</f>
        <v>Retener</v>
      </c>
      <c r="J38" s="15" t="s">
        <v>59</v>
      </c>
      <c r="K38" s="0" t="n">
        <v>1.5</v>
      </c>
      <c r="L38" s="0" t="n">
        <v>0</v>
      </c>
      <c r="P38" s="15" t="s">
        <v>60</v>
      </c>
    </row>
    <row r="39" customFormat="false" ht="14.25" hidden="false" customHeight="false" outlineLevel="0" collapsed="false">
      <c r="A39" s="0" t="s">
        <v>61</v>
      </c>
      <c r="B39" s="13" t="n">
        <f aca="false">IF(D39="Bajo",1,IF(D39="Medio",2,3))+MOD(ROW()-3,9)*0.05</f>
        <v>1</v>
      </c>
      <c r="C39" s="13" t="n">
        <f aca="false">(IF(F39="No",1,0)+IF(G39="Si",1,0)+IF(E39="Si",1,0))+MOD(ROW()-3,7)*0.06</f>
        <v>0.06</v>
      </c>
      <c r="D39" s="14" t="s">
        <v>19</v>
      </c>
      <c r="E39" s="14" t="s">
        <v>8</v>
      </c>
      <c r="F39" s="14" t="s">
        <v>3</v>
      </c>
      <c r="G39" s="14" t="s">
        <v>8</v>
      </c>
      <c r="H39" s="0" t="str">
        <f aca="false">IF(D39="Bajo",IF(AND(F39="No",G39="Si",E39="Si"),"Actividad","Rescatar"),IF(AND(F39="No",G39="Si",E39="Si"),"Retener","Enfoque"))</f>
        <v>Rescatar</v>
      </c>
      <c r="J39" s="15" t="s">
        <v>59</v>
      </c>
      <c r="K39" s="0" t="n">
        <v>1.5</v>
      </c>
      <c r="L39" s="0" t="n">
        <v>4</v>
      </c>
    </row>
    <row r="40" customFormat="false" ht="14.25" hidden="false" customHeight="false" outlineLevel="0" collapsed="false">
      <c r="A40" s="0" t="s">
        <v>62</v>
      </c>
      <c r="B40" s="13" t="n">
        <f aca="false">IF(D40="Bajo",1,IF(D40="Medio",2,3))+MOD(ROW()-3,9)*0.05</f>
        <v>1.05</v>
      </c>
      <c r="C40" s="13" t="n">
        <f aca="false">(IF(F40="No",1,0)+IF(G40="Si",1,0)+IF(E40="Si",1,0))+MOD(ROW()-3,7)*0.06</f>
        <v>0.12</v>
      </c>
      <c r="D40" s="14" t="s">
        <v>19</v>
      </c>
      <c r="E40" s="14" t="s">
        <v>8</v>
      </c>
      <c r="F40" s="14" t="s">
        <v>3</v>
      </c>
      <c r="G40" s="14" t="s">
        <v>8</v>
      </c>
      <c r="H40" s="0" t="str">
        <f aca="false">IF(D40="Bajo",IF(AND(F40="No",G40="Si",E40="Si"),"Actividad","Rescatar"),IF(AND(F40="No",G40="Si",E40="Si"),"Retener","Enfoque"))</f>
        <v>Rescatar</v>
      </c>
    </row>
    <row r="41" customFormat="false" ht="14.25" hidden="false" customHeight="false" outlineLevel="0" collapsed="false">
      <c r="A41" s="0" t="s">
        <v>63</v>
      </c>
      <c r="B41" s="13" t="n">
        <f aca="false">IF(D41="Bajo",1,IF(D41="Medio",2,3))+MOD(ROW()-3,9)*0.05</f>
        <v>3.1</v>
      </c>
      <c r="C41" s="13" t="n">
        <f aca="false">(IF(F41="No",1,0)+IF(G41="Si",1,0)+IF(E41="Si",1,0))+MOD(ROW()-3,7)*0.06</f>
        <v>3.18</v>
      </c>
      <c r="D41" s="14" t="s">
        <v>5</v>
      </c>
      <c r="E41" s="14" t="s">
        <v>3</v>
      </c>
      <c r="F41" s="14" t="s">
        <v>8</v>
      </c>
      <c r="G41" s="14" t="s">
        <v>3</v>
      </c>
      <c r="H41" s="0" t="str">
        <f aca="false">IF(D41="Bajo",IF(AND(F41="No",G41="Si",E41="Si"),"Actividad","Rescatar"),IF(AND(F41="No",G41="Si",E41="Si"),"Retener","Enfoque"))</f>
        <v>Retener</v>
      </c>
    </row>
    <row r="42" customFormat="false" ht="14.25" hidden="false" customHeight="false" outlineLevel="0" collapsed="false">
      <c r="A42" s="0" t="s">
        <v>13</v>
      </c>
      <c r="B42" s="13" t="n">
        <f aca="false">IF(D42="Bajo",1,IF(D42="Medio",2,3))+MOD(ROW()-3,9)*0.05</f>
        <v>3.15</v>
      </c>
      <c r="C42" s="13" t="n">
        <f aca="false">(IF(F42="No",1,0)+IF(G42="Si",1,0)+IF(E42="Si",1,0))+MOD(ROW()-3,7)*0.06</f>
        <v>1.24</v>
      </c>
      <c r="D42" s="14" t="s">
        <v>5</v>
      </c>
      <c r="E42" s="14" t="s">
        <v>3</v>
      </c>
      <c r="F42" s="14" t="s">
        <v>3</v>
      </c>
      <c r="G42" s="14" t="s">
        <v>8</v>
      </c>
      <c r="H42" s="0" t="str">
        <f aca="false">IF(D42="Bajo",IF(AND(F42="No",G42="Si",E42="Si"),"Actividad","Rescatar"),IF(AND(F42="No",G42="Si",E42="Si"),"Retener","Enfoque"))</f>
        <v>Enfoque</v>
      </c>
    </row>
    <row r="43" customFormat="false" ht="14.25" hidden="false" customHeight="false" outlineLevel="0" collapsed="false">
      <c r="A43" s="0" t="s">
        <v>64</v>
      </c>
      <c r="B43" s="13" t="n">
        <f aca="false">IF(D43="Bajo",1,IF(D43="Medio",2,3))+MOD(ROW()-3,9)*0.05</f>
        <v>3.2</v>
      </c>
      <c r="C43" s="13" t="n">
        <f aca="false">(IF(F43="No",1,0)+IF(G43="Si",1,0)+IF(E43="Si",1,0))+MOD(ROW()-3,7)*0.06</f>
        <v>3.3</v>
      </c>
      <c r="D43" s="14" t="s">
        <v>5</v>
      </c>
      <c r="E43" s="14" t="s">
        <v>3</v>
      </c>
      <c r="F43" s="14" t="s">
        <v>8</v>
      </c>
      <c r="G43" s="14" t="s">
        <v>3</v>
      </c>
      <c r="H43" s="0" t="str">
        <f aca="false">IF(D43="Bajo",IF(AND(F43="No",G43="Si",E43="Si"),"Actividad","Rescatar"),IF(AND(F43="No",G43="Si",E43="Si"),"Retener","Enfoque"))</f>
        <v>Retener</v>
      </c>
    </row>
    <row r="44" customFormat="false" ht="14.25" hidden="false" customHeight="false" outlineLevel="0" collapsed="false">
      <c r="A44" s="0" t="s">
        <v>65</v>
      </c>
      <c r="B44" s="13" t="n">
        <f aca="false">IF(D44="Bajo",1,IF(D44="Medio",2,3))+MOD(ROW()-3,9)*0.05</f>
        <v>3.25</v>
      </c>
      <c r="C44" s="13" t="n">
        <f aca="false">(IF(F44="No",1,0)+IF(G44="Si",1,0)+IF(E44="Si",1,0))+MOD(ROW()-3,7)*0.06</f>
        <v>3.36</v>
      </c>
      <c r="D44" s="14" t="s">
        <v>5</v>
      </c>
      <c r="E44" s="14" t="s">
        <v>3</v>
      </c>
      <c r="F44" s="14" t="s">
        <v>8</v>
      </c>
      <c r="G44" s="14" t="s">
        <v>3</v>
      </c>
      <c r="H44" s="0" t="str">
        <f aca="false">IF(D44="Bajo",IF(AND(F44="No",G44="Si",E44="Si"),"Actividad","Rescatar"),IF(AND(F44="No",G44="Si",E44="Si"),"Retener","Enfoque"))</f>
        <v>Retener</v>
      </c>
    </row>
    <row r="45" customFormat="false" ht="14.25" hidden="false" customHeight="false" outlineLevel="0" collapsed="false">
      <c r="A45" s="0" t="s">
        <v>66</v>
      </c>
      <c r="B45" s="13" t="n">
        <f aca="false">IF(D45="Bajo",1,IF(D45="Medio",2,3))+MOD(ROW()-3,9)*0.05</f>
        <v>3.3</v>
      </c>
      <c r="C45" s="13" t="n">
        <f aca="false">(IF(F45="No",1,0)+IF(G45="Si",1,0)+IF(E45="Si",1,0))+MOD(ROW()-3,7)*0.06</f>
        <v>2</v>
      </c>
      <c r="D45" s="14" t="s">
        <v>5</v>
      </c>
      <c r="E45" s="14" t="s">
        <v>3</v>
      </c>
      <c r="F45" s="14" t="s">
        <v>3</v>
      </c>
      <c r="G45" s="14" t="s">
        <v>3</v>
      </c>
      <c r="H45" s="0" t="str">
        <f aca="false">IF(D45="Bajo",IF(AND(F45="No",G45="Si",E45="Si"),"Actividad","Rescatar"),IF(AND(F45="No",G45="Si",E45="Si"),"Retener","Enfoque"))</f>
        <v>Enfoque</v>
      </c>
    </row>
    <row r="46" customFormat="false" ht="14.25" hidden="false" customHeight="false" outlineLevel="0" collapsed="false">
      <c r="A46" s="0" t="s">
        <v>67</v>
      </c>
      <c r="B46" s="13" t="n">
        <f aca="false">IF(D46="Bajo",1,IF(D46="Medio",2,3))+MOD(ROW()-3,9)*0.05</f>
        <v>3.35</v>
      </c>
      <c r="C46" s="13" t="n">
        <f aca="false">(IF(F46="No",1,0)+IF(G46="Si",1,0)+IF(E46="Si",1,0))+MOD(ROW()-3,7)*0.06</f>
        <v>3.06</v>
      </c>
      <c r="D46" s="14" t="s">
        <v>5</v>
      </c>
      <c r="E46" s="14" t="s">
        <v>3</v>
      </c>
      <c r="F46" s="14" t="s">
        <v>8</v>
      </c>
      <c r="G46" s="14" t="s">
        <v>3</v>
      </c>
      <c r="H46" s="0" t="str">
        <f aca="false">IF(D46="Bajo",IF(AND(F46="No",G46="Si",E46="Si"),"Actividad","Rescatar"),IF(AND(F46="No",G46="Si",E46="Si"),"Retener","Enfoque"))</f>
        <v>Retener</v>
      </c>
    </row>
    <row r="47" customFormat="false" ht="14.25" hidden="false" customHeight="false" outlineLevel="0" collapsed="false">
      <c r="A47" s="0" t="s">
        <v>68</v>
      </c>
      <c r="B47" s="13" t="n">
        <f aca="false">IF(D47="Bajo",1,IF(D47="Medio",2,3))+MOD(ROW()-3,9)*0.05</f>
        <v>3.4</v>
      </c>
      <c r="C47" s="13" t="n">
        <f aca="false">(IF(F47="No",1,0)+IF(G47="Si",1,0)+IF(E47="Si",1,0))+MOD(ROW()-3,7)*0.06</f>
        <v>3.12</v>
      </c>
      <c r="D47" s="14" t="s">
        <v>5</v>
      </c>
      <c r="E47" s="14" t="s">
        <v>3</v>
      </c>
      <c r="F47" s="14" t="s">
        <v>8</v>
      </c>
      <c r="G47" s="14" t="s">
        <v>3</v>
      </c>
      <c r="H47" s="0" t="str">
        <f aca="false">IF(D47="Bajo",IF(AND(F47="No",G47="Si",E47="Si"),"Actividad","Rescatar"),IF(AND(F47="No",G47="Si",E47="Si"),"Retener","Enfoque"))</f>
        <v>Retener</v>
      </c>
    </row>
    <row r="48" customFormat="false" ht="14.25" hidden="false" customHeight="false" outlineLevel="0" collapsed="false">
      <c r="A48" s="0" t="s">
        <v>69</v>
      </c>
      <c r="B48" s="13" t="n">
        <f aca="false">IF(D48="Bajo",1,IF(D48="Medio",2,3))+MOD(ROW()-3,9)*0.05</f>
        <v>3</v>
      </c>
      <c r="C48" s="13" t="n">
        <f aca="false">(IF(F48="No",1,0)+IF(G48="Si",1,0)+IF(E48="Si",1,0))+MOD(ROW()-3,7)*0.06</f>
        <v>2.18</v>
      </c>
      <c r="D48" s="14" t="s">
        <v>5</v>
      </c>
      <c r="E48" s="14" t="s">
        <v>3</v>
      </c>
      <c r="F48" s="14" t="s">
        <v>3</v>
      </c>
      <c r="G48" s="14" t="s">
        <v>3</v>
      </c>
      <c r="H48" s="0" t="str">
        <f aca="false">IF(D48="Bajo",IF(AND(F48="No",G48="Si",E48="Si"),"Actividad","Rescatar"),IF(AND(F48="No",G48="Si",E48="Si"),"Retener","Enfoque"))</f>
        <v>Enfoque</v>
      </c>
    </row>
    <row r="49" customFormat="false" ht="14.25" hidden="false" customHeight="false" outlineLevel="0" collapsed="false">
      <c r="A49" s="0" t="s">
        <v>70</v>
      </c>
      <c r="B49" s="13" t="n">
        <f aca="false">IF(D49="Bajo",1,IF(D49="Medio",2,3))+MOD(ROW()-3,9)*0.05</f>
        <v>3.05</v>
      </c>
      <c r="C49" s="13" t="n">
        <f aca="false">(IF(F49="No",1,0)+IF(G49="Si",1,0)+IF(E49="Si",1,0))+MOD(ROW()-3,7)*0.06</f>
        <v>2.24</v>
      </c>
      <c r="D49" s="14" t="s">
        <v>5</v>
      </c>
      <c r="E49" s="14" t="s">
        <v>3</v>
      </c>
      <c r="F49" s="14" t="s">
        <v>3</v>
      </c>
      <c r="G49" s="14" t="s">
        <v>3</v>
      </c>
      <c r="H49" s="0" t="str">
        <f aca="false">IF(D49="Bajo",IF(AND(F49="No",G49="Si",E49="Si"),"Actividad","Rescatar"),IF(AND(F49="No",G49="Si",E49="Si"),"Retener","Enfoque"))</f>
        <v>Enfoque</v>
      </c>
    </row>
    <row r="50" customFormat="false" ht="14.25" hidden="false" customHeight="false" outlineLevel="0" collapsed="false">
      <c r="A50" s="0" t="s">
        <v>71</v>
      </c>
      <c r="B50" s="13" t="n">
        <f aca="false">IF(D50="Bajo",1,IF(D50="Medio",2,3))+MOD(ROW()-3,9)*0.05</f>
        <v>1.1</v>
      </c>
      <c r="C50" s="13" t="n">
        <f aca="false">(IF(F50="No",1,0)+IF(G50="Si",1,0)+IF(E50="Si",1,0))+MOD(ROW()-3,7)*0.06</f>
        <v>0.3</v>
      </c>
      <c r="D50" s="14" t="s">
        <v>19</v>
      </c>
      <c r="E50" s="14" t="s">
        <v>8</v>
      </c>
      <c r="F50" s="14" t="s">
        <v>3</v>
      </c>
      <c r="G50" s="14" t="s">
        <v>8</v>
      </c>
      <c r="H50" s="0" t="str">
        <f aca="false">IF(D50="Bajo",IF(AND(F50="No",G50="Si",E50="Si"),"Actividad","Rescatar"),IF(AND(F50="No",G50="Si",E50="Si"),"Retener","Enfoque"))</f>
        <v>Rescatar</v>
      </c>
    </row>
    <row r="51" customFormat="false" ht="14.25" hidden="false" customHeight="false" outlineLevel="0" collapsed="false">
      <c r="A51" s="0" t="s">
        <v>72</v>
      </c>
      <c r="B51" s="13" t="n">
        <f aca="false">IF(D51="Bajo",1,IF(D51="Medio",2,3))+MOD(ROW()-3,9)*0.05</f>
        <v>3.15</v>
      </c>
      <c r="C51" s="13" t="n">
        <f aca="false">(IF(F51="No",1,0)+IF(G51="Si",1,0)+IF(E51="Si",1,0))+MOD(ROW()-3,7)*0.06</f>
        <v>3.36</v>
      </c>
      <c r="D51" s="14" t="s">
        <v>5</v>
      </c>
      <c r="E51" s="14" t="s">
        <v>3</v>
      </c>
      <c r="F51" s="14" t="s">
        <v>8</v>
      </c>
      <c r="G51" s="14" t="s">
        <v>3</v>
      </c>
      <c r="H51" s="0" t="str">
        <f aca="false">IF(D51="Bajo",IF(AND(F51="No",G51="Si",E51="Si"),"Actividad","Rescatar"),IF(AND(F51="No",G51="Si",E51="Si"),"Retener","Enfoque"))</f>
        <v>Retener</v>
      </c>
    </row>
    <row r="52" customFormat="false" ht="14.25" hidden="false" customHeight="false" outlineLevel="0" collapsed="false">
      <c r="A52" s="0" t="s">
        <v>73</v>
      </c>
      <c r="B52" s="13" t="n">
        <f aca="false">IF(D52="Bajo",1,IF(D52="Medio",2,3))+MOD(ROW()-3,9)*0.05</f>
        <v>1.2</v>
      </c>
      <c r="C52" s="13" t="n">
        <f aca="false">(IF(F52="No",1,0)+IF(G52="Si",1,0)+IF(E52="Si",1,0))+MOD(ROW()-3,7)*0.06</f>
        <v>0</v>
      </c>
      <c r="D52" s="14" t="s">
        <v>19</v>
      </c>
      <c r="E52" s="14" t="s">
        <v>8</v>
      </c>
      <c r="F52" s="14" t="s">
        <v>3</v>
      </c>
      <c r="G52" s="14" t="s">
        <v>8</v>
      </c>
      <c r="H52" s="0" t="str">
        <f aca="false">IF(D52="Bajo",IF(AND(F52="No",G52="Si",E52="Si"),"Actividad","Rescatar"),IF(AND(F52="No",G52="Si",E52="Si"),"Retener","Enfoque"))</f>
        <v>Rescatar</v>
      </c>
    </row>
    <row r="54" customFormat="false" ht="14.25" hidden="false" customHeight="false" outlineLevel="0" collapsed="false">
      <c r="B54" s="16"/>
      <c r="D54" s="14"/>
      <c r="E54" s="14"/>
      <c r="F54" s="14"/>
      <c r="G54" s="14"/>
    </row>
    <row r="56" customFormat="false" ht="14.25" hidden="false" customHeight="false" outlineLevel="0" collapsed="false">
      <c r="D56" s="17" t="s">
        <v>74</v>
      </c>
      <c r="E56" s="17"/>
      <c r="F56" s="17"/>
    </row>
    <row r="57" customFormat="false" ht="14.25" hidden="false" customHeight="false" outlineLevel="0" collapsed="false">
      <c r="D57" s="18" t="n">
        <f aca="false">COUNTIF($D3:$D52,"bajo")</f>
        <v>23</v>
      </c>
      <c r="E57" s="15" t="s">
        <v>75</v>
      </c>
      <c r="F57" s="19" t="n">
        <f aca="false">D57/COUNTA(D3:D52)</f>
        <v>0.46</v>
      </c>
    </row>
    <row r="58" customFormat="false" ht="14.25" hidden="false" customHeight="false" outlineLevel="0" collapsed="false">
      <c r="D58" s="18" t="n">
        <f aca="false">COUNTIF($D3:$D52,"medio")</f>
        <v>3</v>
      </c>
      <c r="E58" s="15" t="s">
        <v>76</v>
      </c>
      <c r="F58" s="19" t="n">
        <f aca="false">D58/COUNTA(D3:D52)</f>
        <v>0.06</v>
      </c>
      <c r="H58" s="15" t="s">
        <v>77</v>
      </c>
    </row>
    <row r="59" customFormat="false" ht="14.25" hidden="false" customHeight="false" outlineLevel="0" collapsed="false">
      <c r="D59" s="18" t="n">
        <f aca="false">COUNTIF($D3:$D52,"alto")</f>
        <v>24</v>
      </c>
      <c r="E59" s="15" t="s">
        <v>5</v>
      </c>
      <c r="F59" s="19" t="n">
        <f aca="false">D59/COUNTA(D3:D52)</f>
        <v>0.48</v>
      </c>
      <c r="H59" s="15" t="s">
        <v>78</v>
      </c>
    </row>
    <row r="61" customFormat="false" ht="14.25" hidden="false" customHeight="false" outlineLevel="0" collapsed="false">
      <c r="D61" s="17" t="s">
        <v>79</v>
      </c>
      <c r="E61" s="17"/>
      <c r="F61" s="17"/>
    </row>
    <row r="62" customFormat="false" ht="14.25" hidden="false" customHeight="false" outlineLevel="0" collapsed="false">
      <c r="D62" s="18" t="n">
        <f aca="false">COUNTIF($G3:$G52,"Si")</f>
        <v>19</v>
      </c>
      <c r="E62" s="15" t="s">
        <v>80</v>
      </c>
      <c r="F62" s="19" t="n">
        <f aca="false">D62/COUNTA(D3:D52)</f>
        <v>0.38</v>
      </c>
    </row>
    <row r="63" customFormat="false" ht="14.25" hidden="false" customHeight="false" outlineLevel="0" collapsed="false">
      <c r="D63" s="18" t="n">
        <f aca="false">COUNTIF($G3:$G52,"No")</f>
        <v>31</v>
      </c>
      <c r="E63" s="15" t="s">
        <v>81</v>
      </c>
      <c r="F63" s="19" t="n">
        <f aca="false">D63/COUNTA(D3:D52)</f>
        <v>0.62</v>
      </c>
    </row>
    <row r="64" customFormat="false" ht="14.25" hidden="false" customHeight="false" outlineLevel="0" collapsed="false">
      <c r="D64" s="18"/>
      <c r="F64" s="19"/>
    </row>
  </sheetData>
  <mergeCells count="2">
    <mergeCell ref="D56:F56"/>
    <mergeCell ref="D61:F61"/>
  </mergeCells>
  <dataValidations count="1">
    <dataValidation allowBlank="true" errorStyle="stop" operator="between" showDropDown="false" showErrorMessage="true" showInputMessage="true" sqref="D3:D52 D54" type="list">
      <formula1>$O$6:$O$8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3" activeCellId="0" sqref="A13"/>
    </sheetView>
  </sheetViews>
  <sheetFormatPr defaultColWidth="10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2025-11-02T21:10:41Z</dcterms:created>
  <dc:creator>Paloma Ignacia Veloso Avila</dc:creator>
  <dc:description/>
  <dc:language>en-US</dc:language>
  <cp:lastModifiedBy/>
  <dcterms:modified xsi:type="dcterms:W3CDTF">2026-09-05T06:56:47Z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